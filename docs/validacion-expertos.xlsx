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Relevancia" sheetId="3" state="visible" r:id="rId3"/>
    <sheet name="Claridad" sheetId="4" state="visible" r:id="rId4"/>
    <sheet name="Formas parale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2A6E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3B4270"/>
      <sz val="9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2A6E"/>
      </patternFill>
    </fill>
    <fill>
      <patternFill patternType="solid">
        <fgColor rgb="00FFF2CC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bottom style="thin">
        <color rgb="00D0D3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top"/>
    </xf>
    <xf numFmtId="0" fontId="5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2" fontId="2" fillId="4" borderId="0" applyAlignment="1" pivotButton="0" quotePrefix="0" xfId="0">
      <alignment horizontal="center" vertical="top"/>
    </xf>
    <xf numFmtId="0" fontId="6" fillId="0" borderId="0" pivotButton="0" quotePrefix="0" xfId="0"/>
    <xf numFmtId="2" fontId="5" fillId="3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2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/>
    </xf>
    <xf numFmtId="2" fontId="3" fillId="0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/>
    </xf>
    <xf numFmtId="2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2" fontId="2" fillId="4" borderId="1" applyAlignment="1" pivotButton="0" quotePrefix="0" xfId="0">
      <alignment horizontal="center" vertical="top"/>
    </xf>
    <xf numFmtId="164" fontId="2" fillId="4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2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CuidaPiel</author>
  </authors>
  <commentList>
    <comment ref="O1" authorId="0" shapeId="0">
      <text>
        <t>I-CVI: proporción de expertos que puntúan 3 o 4 (Lynn 1986; Polit y Beck 2006).</t>
      </text>
    </comment>
    <comment ref="Q1" authorId="0" shapeId="0">
      <text>
        <t>Kappa modificado: corrige el I-CVI por acuerdo al azar (Polit, Beck y Owen 2007).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CuidaPiel · Validación de contenido del banco de preguntas</t>
        </is>
      </c>
    </row>
    <row r="2">
      <c r="A2" s="2" t="inlineStr">
        <is>
          <t>Versión del banco: 2026-10-01 · 42 ítems (12 forma A de ingreso, 12 forma B de alta, 18 del desafío diario)</t>
        </is>
      </c>
    </row>
    <row r="3">
      <c r="A3" s="2" t="inlineStr"/>
    </row>
    <row r="4">
      <c r="A4" s="3" t="inlineStr">
        <is>
          <t>Qué hacer</t>
        </is>
      </c>
    </row>
    <row r="5">
      <c r="A5" s="2" t="inlineStr">
        <is>
          <t>1. Cada experto o experta tiene una columna (E1 a E6) en las hojas «Relevancia» y «Claridad». Complete solo las celdas amarillas.</t>
        </is>
      </c>
    </row>
    <row r="6">
      <c r="A6" s="2" t="inlineStr">
        <is>
          <t>2. Relevancia: ¿el ítem mide un cuidado importante para prevenir lesiones por presión en casa? 1 = no relevante · 2 = algo relevante · 3 = bastante relevante · 4 = muy relevante.</t>
        </is>
      </c>
    </row>
    <row r="7">
      <c r="A7" s="2" t="inlineStr">
        <is>
          <t>3. Claridad: ¿lo entiende un paciente chileno con poca escolaridad? 1 = nada claro · 2 = poco claro · 3 = claro · 4 = muy claro. Anote sugerencias de redacción en la columna final.</t>
        </is>
      </c>
    </row>
    <row r="8">
      <c r="A8" s="2" t="inlineStr">
        <is>
          <t>4. Si hay menos de 6 expertos, deje vacías las columnas que sobran: las fórmulas cuentan solo las celdas con nota.</t>
        </is>
      </c>
    </row>
    <row r="9">
      <c r="A9" s="2" t="inlineStr">
        <is>
          <t>5. En «Relevancia», la columna «Decisión» (amarilla) es para el equipo investigador: Mantener, Modificar o Eliminar.</t>
        </is>
      </c>
    </row>
    <row r="10">
      <c r="A10" s="2" t="inlineStr"/>
    </row>
    <row r="11">
      <c r="A11" s="3" t="inlineStr">
        <is>
          <t>Cómo se calcula</t>
        </is>
      </c>
    </row>
    <row r="12">
      <c r="A12" s="2" t="inlineStr">
        <is>
          <t>I-CVI = expertos que puntúan 3 o 4 ÷ expertos que evaluaron el ítem (Lynn 1986; Polit y Beck 2006).</t>
        </is>
      </c>
    </row>
    <row r="13">
      <c r="A13" s="2" t="inlineStr">
        <is>
          <t>Kappa modificado κ* = (I-CVI − Pc) ÷ (1 − Pc), con Pc = COMBIN(N; A) × 0,5^N, la probabilidad de acuerdo por azar (Polit, Beck y Owen 2007).</t>
        </is>
      </c>
    </row>
    <row r="14">
      <c r="A14" s="2" t="inlineStr">
        <is>
          <t>Interpretación de κ*: &gt; 0,74 excelente · 0,60–0,74 bueno · 0,40–0,59 regular · &lt; 0,40 revisar (Polit, Beck y Owen 2007).</t>
        </is>
      </c>
    </row>
    <row r="15">
      <c r="A15" s="2" t="inlineStr">
        <is>
          <t>S-CVI/Ave = promedio de los I-CVI; S-CVI/UA = proporción de ítems con I-CVI = 1 (Polit y Beck 2006). Ver hoja «Resumen».</t>
        </is>
      </c>
    </row>
    <row r="16">
      <c r="A16" s="2" t="inlineStr"/>
    </row>
    <row r="17">
      <c r="A17" s="3" t="inlineStr">
        <is>
          <t>Ejemplo de una fila completa (no forma parte del banco)</t>
        </is>
      </c>
    </row>
    <row r="18">
      <c r="A18" s="4" t="inlineStr">
        <is>
          <t>Ítem de ejemplo</t>
        </is>
      </c>
      <c r="B18" s="4" t="inlineStr">
        <is>
          <t>E1</t>
        </is>
      </c>
      <c r="C18" s="4" t="inlineStr">
        <is>
          <t>E2</t>
        </is>
      </c>
      <c r="D18" s="4" t="inlineStr">
        <is>
          <t>E3</t>
        </is>
      </c>
      <c r="E18" s="4" t="inlineStr">
        <is>
          <t>E4</t>
        </is>
      </c>
      <c r="F18" s="4" t="inlineStr">
        <is>
          <t>E5</t>
        </is>
      </c>
      <c r="G18" s="4" t="inlineStr">
        <is>
          <t>E6</t>
        </is>
      </c>
      <c r="H18" s="4" t="inlineStr">
        <is>
          <t>N</t>
        </is>
      </c>
      <c r="I18" s="4" t="inlineStr">
        <is>
          <t>I-CVI</t>
        </is>
      </c>
      <c r="J18" s="4" t="inlineStr">
        <is>
          <t>κ*</t>
        </is>
      </c>
    </row>
    <row r="19">
      <c r="A19" s="2" t="inlineStr">
        <is>
          <t>EJEMPLO</t>
        </is>
      </c>
      <c r="B19" s="5" t="n">
        <v>4</v>
      </c>
      <c r="C19" s="5" t="n">
        <v>4</v>
      </c>
      <c r="D19" s="5" t="n">
        <v>3</v>
      </c>
      <c r="E19" s="5" t="n">
        <v>4</v>
      </c>
      <c r="F19" s="5" t="n">
        <v>3</v>
      </c>
      <c r="G19" s="5" t="n">
        <v>2</v>
      </c>
      <c r="H19" s="6">
        <f>COUNT(B19:G19)</f>
        <v/>
      </c>
      <c r="I19" s="7">
        <f>IF(H19=0,"",COUNTIF(B19:G19,"&gt;=3")/H19)</f>
        <v/>
      </c>
      <c r="J19" s="7">
        <f>IF(H19=0,"",(I19-COMBIN(H19,COUNTIF(B19:G19,"&gt;=3"))*0.5^H19)/(1-COMBIN(H19,COUNTIF(B19:G19,"&gt;=3"))*0.5^H19))</f>
        <v/>
      </c>
    </row>
    <row r="21">
      <c r="A21" s="8" t="inlineStr">
        <is>
          <t>Leyenda: celdas amarillas = para completar (números azules) · celdas lilas = cálculo automático; no las edite.</t>
        </is>
      </c>
    </row>
    <row r="22">
      <c r="A22" s="8" t="inlineStr">
        <is>
          <t>Referencias: Lynn MR. Nurs Res. 1986;35(6):382-5 (PMID 3640358). Polit DF, Beck CT. Res Nurs Health. 2006;29(5):489-97 (PMID 16977646). Polit DF, Beck CT, Owen SV. Res Nurs Health. 2007;30(4):459-67 (PMID 17654487).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Resumen de validez de contenido</t>
        </is>
      </c>
    </row>
    <row r="3">
      <c r="A3" s="2" t="inlineStr">
        <is>
          <t>Umbral I-CVI aceptable</t>
        </is>
      </c>
      <c r="B3" s="9" t="n">
        <v>0.78</v>
      </c>
      <c r="C3" s="8" t="inlineStr">
        <is>
          <t>Polit y Beck 2006 (PMID 16977646): I-CVI ≥ 0,78 con 6 o más expertos (Lynn 1986).</t>
        </is>
      </c>
    </row>
    <row r="4">
      <c r="A4" s="2" t="inlineStr">
        <is>
          <t>Umbral S-CVI/Ave aceptable</t>
        </is>
      </c>
      <c r="B4" s="9" t="n">
        <v>0.9</v>
      </c>
      <c r="C4" s="8" t="inlineStr">
        <is>
          <t>Polit y Beck 2006 (PMID 16977646): S-CVI/Ave ≥ 0,90.</t>
        </is>
      </c>
    </row>
    <row r="6">
      <c r="A6" s="10" t="inlineStr">
        <is>
          <t>Conjunto</t>
        </is>
      </c>
      <c r="B6" s="10" t="inlineStr">
        <is>
          <t>Ítems</t>
        </is>
      </c>
      <c r="C6" s="10" t="inlineStr">
        <is>
          <t>Ítems evaluados</t>
        </is>
      </c>
      <c r="D6" s="10" t="inlineStr">
        <is>
          <t>S-CVI/Ave</t>
        </is>
      </c>
      <c r="E6" s="10" t="inlineStr">
        <is>
          <t>S-CVI/UA</t>
        </is>
      </c>
      <c r="F6" s="10" t="inlineStr">
        <is>
          <t>Ítems bajo umbral</t>
        </is>
      </c>
      <c r="G6" s="10" t="inlineStr">
        <is>
          <t>Cumple S-CVI/Ave</t>
        </is>
      </c>
    </row>
    <row r="7">
      <c r="A7" s="11" t="inlineStr">
        <is>
          <t>A · ingreso</t>
        </is>
      </c>
      <c r="B7" s="12">
        <f>COUNTIF(Relevancia!$B$2:$B$43,"A")</f>
        <v/>
      </c>
      <c r="C7" s="12">
        <f>COUNTIFS(Relevancia!$B$2:$B$43,"A",Relevancia!$M$2:$M$43,"&gt;0")</f>
        <v/>
      </c>
      <c r="D7" s="13">
        <f>IFERROR(AVERAGEIFS(Relevancia!$O$2:$O$43,Relevancia!$B$2:$B$43,"A"),"")</f>
        <v/>
      </c>
      <c r="E7" s="13">
        <f>IF(C7=0,"",COUNTIFS(Relevancia!$B$2:$B$43,"A",Relevancia!$O$2:$O$43,1)/C7)</f>
        <v/>
      </c>
      <c r="F7" s="12">
        <f>IF(C7=0,"",COUNTIFS(Relevancia!$B$2:$B$43,"A",Relevancia!$O$2:$O$43,"&lt;"&amp;$B$3))</f>
        <v/>
      </c>
      <c r="G7" s="12">
        <f>IF(D7="","",IF(D7&gt;=$B$4,"Sí","No"))</f>
        <v/>
      </c>
    </row>
    <row r="8">
      <c r="A8" s="11" t="inlineStr">
        <is>
          <t>B · alta</t>
        </is>
      </c>
      <c r="B8" s="12">
        <f>COUNTIF(Relevancia!$B$2:$B$43,"B")</f>
        <v/>
      </c>
      <c r="C8" s="12">
        <f>COUNTIFS(Relevancia!$B$2:$B$43,"B",Relevancia!$M$2:$M$43,"&gt;0")</f>
        <v/>
      </c>
      <c r="D8" s="13">
        <f>IFERROR(AVERAGEIFS(Relevancia!$O$2:$O$43,Relevancia!$B$2:$B$43,"B"),"")</f>
        <v/>
      </c>
      <c r="E8" s="13">
        <f>IF(C8=0,"",COUNTIFS(Relevancia!$B$2:$B$43,"B",Relevancia!$O$2:$O$43,1)/C8)</f>
        <v/>
      </c>
      <c r="F8" s="12">
        <f>IF(C8=0,"",COUNTIFS(Relevancia!$B$2:$B$43,"B",Relevancia!$O$2:$O$43,"&lt;"&amp;$B$3))</f>
        <v/>
      </c>
      <c r="G8" s="12">
        <f>IF(D8="","",IF(D8&gt;=$B$4,"Sí","No"))</f>
        <v/>
      </c>
    </row>
    <row r="9">
      <c r="A9" s="11" t="inlineStr">
        <is>
          <t>D · desafío diario</t>
        </is>
      </c>
      <c r="B9" s="12">
        <f>COUNTIF(Relevancia!$B$2:$B$43,"D")</f>
        <v/>
      </c>
      <c r="C9" s="12">
        <f>COUNTIFS(Relevancia!$B$2:$B$43,"D",Relevancia!$M$2:$M$43,"&gt;0")</f>
        <v/>
      </c>
      <c r="D9" s="13">
        <f>IFERROR(AVERAGEIFS(Relevancia!$O$2:$O$43,Relevancia!$B$2:$B$43,"D"),"")</f>
        <v/>
      </c>
      <c r="E9" s="13">
        <f>IF(C9=0,"",COUNTIFS(Relevancia!$B$2:$B$43,"D",Relevancia!$O$2:$O$43,1)/C9)</f>
        <v/>
      </c>
      <c r="F9" s="12">
        <f>IF(C9=0,"",COUNTIFS(Relevancia!$B$2:$B$43,"D",Relevancia!$O$2:$O$43,"&lt;"&amp;$B$3))</f>
        <v/>
      </c>
      <c r="G9" s="12">
        <f>IF(D9="","",IF(D9&gt;=$B$4,"Sí","No"))</f>
        <v/>
      </c>
    </row>
    <row r="10">
      <c r="A10" s="14" t="inlineStr">
        <is>
          <t>Banco completo</t>
        </is>
      </c>
      <c r="B10" s="15">
        <f>COUNTA(Relevancia!$A$2:$A$43)</f>
        <v/>
      </c>
      <c r="C10" s="15">
        <f>COUNTIF(Relevancia!$M$2:$M$43,"&gt;0")</f>
        <v/>
      </c>
      <c r="D10" s="16">
        <f>IFERROR(AVERAGE(Relevancia!$O$2:$O$43),"")</f>
        <v/>
      </c>
      <c r="E10" s="16">
        <f>IF(C10=0,"",COUNTIF(Relevancia!$O$2:$O$43,1)/C10)</f>
        <v/>
      </c>
      <c r="F10" s="15">
        <f>IF(C10=0,"",COUNTIF(Relevancia!$O$2:$O$43,"&lt;"&amp;$B$3))</f>
        <v/>
      </c>
      <c r="G10" s="15">
        <f>IF(D10="","",IF(D10&gt;=$B$4,"Sí","No"))</f>
        <v/>
      </c>
    </row>
    <row r="12">
      <c r="A12" s="17" t="inlineStr">
        <is>
          <t>Dominio</t>
        </is>
      </c>
      <c r="B12" s="17" t="inlineStr">
        <is>
          <t>Ítems</t>
        </is>
      </c>
      <c r="C12" s="17" t="inlineStr">
        <is>
          <t>S-CVI/Ave</t>
        </is>
      </c>
    </row>
    <row r="13">
      <c r="A13" s="2" t="inlineStr">
        <is>
          <t>Cambios de posición</t>
        </is>
      </c>
      <c r="B13" s="2">
        <f>COUNTIF(Relevancia!$C$2:$C$43,A13)</f>
        <v/>
      </c>
      <c r="C13" s="18">
        <f>IFERROR(AVERAGEIFS(Relevancia!$O$2:$O$43,Relevancia!$C$2:$C$43,A13),"")</f>
        <v/>
      </c>
    </row>
    <row r="14">
      <c r="A14" s="2" t="inlineStr">
        <is>
          <t>Cuidado de la piel</t>
        </is>
      </c>
      <c r="B14" s="2">
        <f>COUNTIF(Relevancia!$C$2:$C$43,A14)</f>
        <v/>
      </c>
      <c r="C14" s="18">
        <f>IFERROR(AVERAGEIFS(Relevancia!$O$2:$O$43,Relevancia!$C$2:$C$43,A14),"")</f>
        <v/>
      </c>
    </row>
    <row r="15">
      <c r="A15" s="2" t="inlineStr">
        <is>
          <t>Revisión de la piel</t>
        </is>
      </c>
      <c r="B15" s="2">
        <f>COUNTIF(Relevancia!$C$2:$C$43,A15)</f>
        <v/>
      </c>
      <c r="C15" s="18">
        <f>IFERROR(AVERAGEIFS(Relevancia!$O$2:$O$43,Relevancia!$C$2:$C$43,A15),"")</f>
        <v/>
      </c>
    </row>
    <row r="16">
      <c r="A16" s="2" t="inlineStr">
        <is>
          <t>Colchón, cojín y apoyos</t>
        </is>
      </c>
      <c r="B16" s="2">
        <f>COUNTIF(Relevancia!$C$2:$C$43,A16)</f>
        <v/>
      </c>
      <c r="C16" s="18">
        <f>IFERROR(AVERAGEIFS(Relevancia!$O$2:$O$43,Relevancia!$C$2:$C$43,A16),"")</f>
        <v/>
      </c>
    </row>
    <row r="17">
      <c r="A17" s="2" t="inlineStr">
        <is>
          <t>Alimentación e hidratación</t>
        </is>
      </c>
      <c r="B17" s="2">
        <f>COUNTIF(Relevancia!$C$2:$C$43,A17)</f>
        <v/>
      </c>
      <c r="C17" s="18">
        <f>IFERROR(AVERAGEIFS(Relevancia!$O$2:$O$43,Relevancia!$C$2:$C$43,A17),"")</f>
        <v/>
      </c>
    </row>
    <row r="18">
      <c r="A18" s="2" t="inlineStr">
        <is>
          <t>Señales de alarma</t>
        </is>
      </c>
      <c r="B18" s="2">
        <f>COUNTIF(Relevancia!$C$2:$C$43,A18)</f>
        <v/>
      </c>
      <c r="C18" s="18">
        <f>IFERROR(AVERAGEIFS(Relevancia!$O$2:$O$43,Relevancia!$C$2:$C$43,A18),"")</f>
        <v/>
      </c>
    </row>
    <row r="20">
      <c r="A20" s="8" t="inlineStr">
        <is>
          <t>Las celdas quedan vacías hasta que haya notas de expertos en la hoja «Relevancia».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26" customWidth="1" min="4" max="4"/>
    <col width="46" customWidth="1" min="5" max="5"/>
    <col width="34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3" customWidth="1" min="18" max="18"/>
    <col width="13" customWidth="1" min="19" max="19"/>
    <col width="30" customWidth="1" min="20" max="20"/>
  </cols>
  <sheetData>
    <row r="1" ht="36" customHeight="1">
      <c r="A1" s="10" t="inlineStr">
        <is>
          <t>ID</t>
        </is>
      </c>
      <c r="B1" s="10" t="inlineStr">
        <is>
          <t>Forma</t>
        </is>
      </c>
      <c r="C1" s="10" t="inlineStr">
        <is>
          <t>Dominio</t>
        </is>
      </c>
      <c r="D1" s="10" t="inlineStr">
        <is>
          <t>Competencia</t>
        </is>
      </c>
      <c r="E1" s="10" t="inlineStr">
        <is>
          <t>Enunciado</t>
        </is>
      </c>
      <c r="F1" s="10" t="inlineStr">
        <is>
          <t>Respuesta correcta</t>
        </is>
      </c>
      <c r="G1" s="10" t="inlineStr">
        <is>
          <t>E1</t>
        </is>
      </c>
      <c r="H1" s="10" t="inlineStr">
        <is>
          <t>E2</t>
        </is>
      </c>
      <c r="I1" s="10" t="inlineStr">
        <is>
          <t>E3</t>
        </is>
      </c>
      <c r="J1" s="10" t="inlineStr">
        <is>
          <t>E4</t>
        </is>
      </c>
      <c r="K1" s="10" t="inlineStr">
        <is>
          <t>E5</t>
        </is>
      </c>
      <c r="L1" s="10" t="inlineStr">
        <is>
          <t>E6</t>
        </is>
      </c>
      <c r="M1" s="10" t="inlineStr">
        <is>
          <t>N expertos</t>
        </is>
      </c>
      <c r="N1" s="10" t="inlineStr">
        <is>
          <t>Acuerdo (3 o 4)</t>
        </is>
      </c>
      <c r="O1" s="10" t="inlineStr">
        <is>
          <t>I-CVI</t>
        </is>
      </c>
      <c r="P1" s="10" t="inlineStr">
        <is>
          <t>Pc (azar)</t>
        </is>
      </c>
      <c r="Q1" s="10" t="inlineStr">
        <is>
          <t>κ*</t>
        </is>
      </c>
      <c r="R1" s="10" t="inlineStr">
        <is>
          <t>Interpretación</t>
        </is>
      </c>
      <c r="S1" s="10" t="inlineStr">
        <is>
          <t>Decisión</t>
        </is>
      </c>
      <c r="T1" s="10" t="inlineStr">
        <is>
          <t>Comentarios</t>
        </is>
      </c>
    </row>
    <row r="2">
      <c r="A2" s="19" t="inlineStr">
        <is>
          <t>A-P1</t>
        </is>
      </c>
      <c r="B2" s="19" t="inlineStr">
        <is>
          <t>A</t>
        </is>
      </c>
      <c r="C2" s="19" t="inlineStr">
        <is>
          <t>Cambios de posición</t>
        </is>
      </c>
      <c r="D2" s="19" t="inlineStr">
        <is>
          <t>P1 · Inclinación lateral de 30° con apoyo</t>
        </is>
      </c>
      <c r="E2" s="19" t="inlineStr">
        <is>
          <t>Cuando la persona queda acostada de lado, ¿cómo debe quedar?</t>
        </is>
      </c>
      <c r="F2" s="19" t="inlineStr">
        <is>
          <t>Apenas inclinada, unos 30°, con una almohada en la espalda</t>
        </is>
      </c>
      <c r="G2" s="20" t="n"/>
      <c r="H2" s="20" t="n"/>
      <c r="I2" s="20" t="n"/>
      <c r="J2" s="20" t="n"/>
      <c r="K2" s="20" t="n"/>
      <c r="L2" s="20" t="n"/>
      <c r="M2" s="21">
        <f>COUNT(G2:L2)</f>
        <v/>
      </c>
      <c r="N2" s="21">
        <f>COUNTIF(G2:L2,"&gt;=3")</f>
        <v/>
      </c>
      <c r="O2" s="22">
        <f>IF(M2=0,"",N2/M2)</f>
        <v/>
      </c>
      <c r="P2" s="23">
        <f>IF(M2=0,"",COMBIN(M2,N2)*0.5^M2)</f>
        <v/>
      </c>
      <c r="Q2" s="22">
        <f>IF(M2=0,"",(O2-P2)/(1-P2))</f>
        <v/>
      </c>
      <c r="R2" s="21">
        <f>IF(Q2="","",IF(Q2&gt;0.74,"Excelente",IF(Q2&gt;=0.6,"Bueno",IF(Q2&gt;=0.4,"Regular","Revisar"))))</f>
        <v/>
      </c>
      <c r="S2" s="24" t="n"/>
      <c r="T2" s="24" t="n"/>
    </row>
    <row r="3">
      <c r="A3" s="19" t="inlineStr">
        <is>
          <t>A-P2</t>
        </is>
      </c>
      <c r="B3" s="19" t="inlineStr">
        <is>
          <t>A</t>
        </is>
      </c>
      <c r="C3" s="19" t="inlineStr">
        <is>
          <t>Cambios de posición</t>
        </is>
      </c>
      <c r="D3" s="19" t="inlineStr">
        <is>
          <t>P2 · Talones sin apoyo (flotando)</t>
        </is>
      </c>
      <c r="E3" s="19" t="inlineStr">
        <is>
          <t>¿Dónde va la almohada para que los talones no se apoyen en el colchón?</t>
        </is>
      </c>
      <c r="F3" s="19" t="inlineStr">
        <is>
          <t>Debajo de las pantorrillas, con los talones en el aire</t>
        </is>
      </c>
      <c r="G3" s="20" t="n"/>
      <c r="H3" s="20" t="n"/>
      <c r="I3" s="20" t="n"/>
      <c r="J3" s="20" t="n"/>
      <c r="K3" s="20" t="n"/>
      <c r="L3" s="20" t="n"/>
      <c r="M3" s="21">
        <f>COUNT(G3:L3)</f>
        <v/>
      </c>
      <c r="N3" s="21">
        <f>COUNTIF(G3:L3,"&gt;=3")</f>
        <v/>
      </c>
      <c r="O3" s="22">
        <f>IF(M3=0,"",N3/M3)</f>
        <v/>
      </c>
      <c r="P3" s="23">
        <f>IF(M3=0,"",COMBIN(M3,N3)*0.5^M3)</f>
        <v/>
      </c>
      <c r="Q3" s="22">
        <f>IF(M3=0,"",(O3-P3)/(1-P3))</f>
        <v/>
      </c>
      <c r="R3" s="21">
        <f>IF(Q3="","",IF(Q3&gt;0.74,"Excelente",IF(Q3&gt;=0.6,"Bueno",IF(Q3&gt;=0.4,"Regular","Revisar"))))</f>
        <v/>
      </c>
      <c r="S3" s="24" t="n"/>
      <c r="T3" s="24" t="n"/>
    </row>
    <row r="4">
      <c r="A4" s="19" t="inlineStr">
        <is>
          <t>A-S1</t>
        </is>
      </c>
      <c r="B4" s="19" t="inlineStr">
        <is>
          <t>A</t>
        </is>
      </c>
      <c r="C4" s="19" t="inlineStr">
        <is>
          <t>Cuidado de la piel</t>
        </is>
      </c>
      <c r="D4" s="19" t="inlineStr">
        <is>
          <t>S1 · Manejo de la humedad y crema barrera</t>
        </is>
      </c>
      <c r="E4" s="19" t="inlineStr">
        <is>
          <t>Después de cambiar un pañal mojado, ¿qué corresponde hacer?</t>
        </is>
      </c>
      <c r="F4" s="19" t="inlineStr">
        <is>
          <t>Limpiar con suavidad, secar con toquecitos y aplicar crema barrera</t>
        </is>
      </c>
      <c r="G4" s="20" t="n"/>
      <c r="H4" s="20" t="n"/>
      <c r="I4" s="20" t="n"/>
      <c r="J4" s="20" t="n"/>
      <c r="K4" s="20" t="n"/>
      <c r="L4" s="20" t="n"/>
      <c r="M4" s="21">
        <f>COUNT(G4:L4)</f>
        <v/>
      </c>
      <c r="N4" s="21">
        <f>COUNTIF(G4:L4,"&gt;=3")</f>
        <v/>
      </c>
      <c r="O4" s="22">
        <f>IF(M4=0,"",N4/M4)</f>
        <v/>
      </c>
      <c r="P4" s="23">
        <f>IF(M4=0,"",COMBIN(M4,N4)*0.5^M4)</f>
        <v/>
      </c>
      <c r="Q4" s="22">
        <f>IF(M4=0,"",(O4-P4)/(1-P4))</f>
        <v/>
      </c>
      <c r="R4" s="21">
        <f>IF(Q4="","",IF(Q4&gt;0.74,"Excelente",IF(Q4&gt;=0.6,"Bueno",IF(Q4&gt;=0.4,"Regular","Revisar"))))</f>
        <v/>
      </c>
      <c r="S4" s="24" t="n"/>
      <c r="T4" s="24" t="n"/>
    </row>
    <row r="5">
      <c r="A5" s="19" t="inlineStr">
        <is>
          <t>A-S2</t>
        </is>
      </c>
      <c r="B5" s="19" t="inlineStr">
        <is>
          <t>A</t>
        </is>
      </c>
      <c r="C5" s="19" t="inlineStr">
        <is>
          <t>Cuidado de la piel</t>
        </is>
      </c>
      <c r="D5" s="19" t="inlineStr">
        <is>
          <t>S2 · Cuidar la piel sin dañarla</t>
        </is>
      </c>
      <c r="E5" s="19" t="inlineStr">
        <is>
          <t>Ve una zona enrojecida en la parte baja de la espalda. ¿Qué es lo correcto?</t>
        </is>
      </c>
      <c r="F5" s="19" t="inlineStr">
        <is>
          <t>Quitarle el apoyo y vigilarla</t>
        </is>
      </c>
      <c r="G5" s="20" t="n"/>
      <c r="H5" s="20" t="n"/>
      <c r="I5" s="20" t="n"/>
      <c r="J5" s="20" t="n"/>
      <c r="K5" s="20" t="n"/>
      <c r="L5" s="20" t="n"/>
      <c r="M5" s="21">
        <f>COUNT(G5:L5)</f>
        <v/>
      </c>
      <c r="N5" s="21">
        <f>COUNTIF(G5:L5,"&gt;=3")</f>
        <v/>
      </c>
      <c r="O5" s="22">
        <f>IF(M5=0,"",N5/M5)</f>
        <v/>
      </c>
      <c r="P5" s="23">
        <f>IF(M5=0,"",COMBIN(M5,N5)*0.5^M5)</f>
        <v/>
      </c>
      <c r="Q5" s="22">
        <f>IF(M5=0,"",(O5-P5)/(1-P5))</f>
        <v/>
      </c>
      <c r="R5" s="21">
        <f>IF(Q5="","",IF(Q5&gt;0.74,"Excelente",IF(Q5&gt;=0.6,"Bueno",IF(Q5&gt;=0.4,"Regular","Revisar"))))</f>
        <v/>
      </c>
      <c r="S5" s="24" t="n"/>
      <c r="T5" s="24" t="n"/>
    </row>
    <row r="6">
      <c r="A6" s="19" t="inlineStr">
        <is>
          <t>A-R1</t>
        </is>
      </c>
      <c r="B6" s="19" t="inlineStr">
        <is>
          <t>A</t>
        </is>
      </c>
      <c r="C6" s="19" t="inlineStr">
        <is>
          <t>Revisión de la piel</t>
        </is>
      </c>
      <c r="D6" s="19" t="inlineStr">
        <is>
          <t>R1 · Frecuencia y momento de la revisión</t>
        </is>
      </c>
      <c r="E6" s="19" t="inlineStr">
        <is>
          <t>¿Cada cuánto conviene revisar la piel?</t>
        </is>
      </c>
      <c r="F6" s="19" t="inlineStr">
        <is>
          <t>Todos los días, con buena luz</t>
        </is>
      </c>
      <c r="G6" s="20" t="n"/>
      <c r="H6" s="20" t="n"/>
      <c r="I6" s="20" t="n"/>
      <c r="J6" s="20" t="n"/>
      <c r="K6" s="20" t="n"/>
      <c r="L6" s="20" t="n"/>
      <c r="M6" s="21">
        <f>COUNT(G6:L6)</f>
        <v/>
      </c>
      <c r="N6" s="21">
        <f>COUNTIF(G6:L6,"&gt;=3")</f>
        <v/>
      </c>
      <c r="O6" s="22">
        <f>IF(M6=0,"",N6/M6)</f>
        <v/>
      </c>
      <c r="P6" s="23">
        <f>IF(M6=0,"",COMBIN(M6,N6)*0.5^M6)</f>
        <v/>
      </c>
      <c r="Q6" s="22">
        <f>IF(M6=0,"",(O6-P6)/(1-P6))</f>
        <v/>
      </c>
      <c r="R6" s="21">
        <f>IF(Q6="","",IF(Q6&gt;0.74,"Excelente",IF(Q6&gt;=0.6,"Bueno",IF(Q6&gt;=0.4,"Regular","Revisar"))))</f>
        <v/>
      </c>
      <c r="S6" s="24" t="n"/>
      <c r="T6" s="24" t="n"/>
    </row>
    <row r="7">
      <c r="A7" s="19" t="inlineStr">
        <is>
          <t>A-R2</t>
        </is>
      </c>
      <c r="B7" s="19" t="inlineStr">
        <is>
          <t>A</t>
        </is>
      </c>
      <c r="C7" s="19" t="inlineStr">
        <is>
          <t>Revisión de la piel</t>
        </is>
      </c>
      <c r="D7" s="19" t="inlineStr">
        <is>
          <t>R2 · Interpretación de la prueba del dedo</t>
        </is>
      </c>
      <c r="E7" s="19" t="inlineStr">
        <is>
          <t>Presiona con el dedo una zona roja y NO se pone blanca. ¿Qué significa?</t>
        </is>
      </c>
      <c r="F7" s="19" t="inlineStr">
        <is>
          <t>Que puede ser una lesión por presión inicial: hay que quitar el apoyo y avisar</t>
        </is>
      </c>
      <c r="G7" s="20" t="n"/>
      <c r="H7" s="20" t="n"/>
      <c r="I7" s="20" t="n"/>
      <c r="J7" s="20" t="n"/>
      <c r="K7" s="20" t="n"/>
      <c r="L7" s="20" t="n"/>
      <c r="M7" s="21">
        <f>COUNT(G7:L7)</f>
        <v/>
      </c>
      <c r="N7" s="21">
        <f>COUNTIF(G7:L7,"&gt;=3")</f>
        <v/>
      </c>
      <c r="O7" s="22">
        <f>IF(M7=0,"",N7/M7)</f>
        <v/>
      </c>
      <c r="P7" s="23">
        <f>IF(M7=0,"",COMBIN(M7,N7)*0.5^M7)</f>
        <v/>
      </c>
      <c r="Q7" s="22">
        <f>IF(M7=0,"",(O7-P7)/(1-P7))</f>
        <v/>
      </c>
      <c r="R7" s="21">
        <f>IF(Q7="","",IF(Q7&gt;0.74,"Excelente",IF(Q7&gt;=0.6,"Bueno",IF(Q7&gt;=0.4,"Regular","Revisar"))))</f>
        <v/>
      </c>
      <c r="S7" s="24" t="n"/>
      <c r="T7" s="24" t="n"/>
    </row>
    <row r="8">
      <c r="A8" s="19" t="inlineStr">
        <is>
          <t>A-U1</t>
        </is>
      </c>
      <c r="B8" s="19" t="inlineStr">
        <is>
          <t>A</t>
        </is>
      </c>
      <c r="C8" s="19" t="inlineStr">
        <is>
          <t>Colchón, cojín y apoyos</t>
        </is>
      </c>
      <c r="D8" s="19" t="inlineStr">
        <is>
          <t>U1 · Evitar dispositivos inadecuados</t>
        </is>
      </c>
      <c r="E8" s="19" t="inlineStr">
        <is>
          <t>¿Qué cojín es adecuado para estar sentado en el sillón?</t>
        </is>
      </c>
      <c r="F8" s="19" t="inlineStr">
        <is>
          <t>Un cojín antiescaras indicado por su equipo de salud</t>
        </is>
      </c>
      <c r="G8" s="20" t="n"/>
      <c r="H8" s="20" t="n"/>
      <c r="I8" s="20" t="n"/>
      <c r="J8" s="20" t="n"/>
      <c r="K8" s="20" t="n"/>
      <c r="L8" s="20" t="n"/>
      <c r="M8" s="21">
        <f>COUNT(G8:L8)</f>
        <v/>
      </c>
      <c r="N8" s="21">
        <f>COUNTIF(G8:L8,"&gt;=3")</f>
        <v/>
      </c>
      <c r="O8" s="22">
        <f>IF(M8=0,"",N8/M8)</f>
        <v/>
      </c>
      <c r="P8" s="23">
        <f>IF(M8=0,"",COMBIN(M8,N8)*0.5^M8)</f>
        <v/>
      </c>
      <c r="Q8" s="22">
        <f>IF(M8=0,"",(O8-P8)/(1-P8))</f>
        <v/>
      </c>
      <c r="R8" s="21">
        <f>IF(Q8="","",IF(Q8&gt;0.74,"Excelente",IF(Q8&gt;=0.6,"Bueno",IF(Q8&gt;=0.4,"Regular","Revisar"))))</f>
        <v/>
      </c>
      <c r="S8" s="24" t="n"/>
      <c r="T8" s="24" t="n"/>
    </row>
    <row r="9">
      <c r="A9" s="19" t="inlineStr">
        <is>
          <t>A-U2</t>
        </is>
      </c>
      <c r="B9" s="19" t="inlineStr">
        <is>
          <t>A</t>
        </is>
      </c>
      <c r="C9" s="19" t="inlineStr">
        <is>
          <t>Colchón, cojín y apoyos</t>
        </is>
      </c>
      <c r="D9" s="19" t="inlineStr">
        <is>
          <t>U2 · La superficie no reemplaza los cambios de posición</t>
        </is>
      </c>
      <c r="E9" s="19" t="inlineStr">
        <is>
          <t>Si la persona tiene un colchón antiescaras…</t>
        </is>
      </c>
      <c r="F9" s="19" t="inlineStr">
        <is>
          <t>Igual necesita cambios de posición regulares</t>
        </is>
      </c>
      <c r="G9" s="20" t="n"/>
      <c r="H9" s="20" t="n"/>
      <c r="I9" s="20" t="n"/>
      <c r="J9" s="20" t="n"/>
      <c r="K9" s="20" t="n"/>
      <c r="L9" s="20" t="n"/>
      <c r="M9" s="21">
        <f>COUNT(G9:L9)</f>
        <v/>
      </c>
      <c r="N9" s="21">
        <f>COUNTIF(G9:L9,"&gt;=3")</f>
        <v/>
      </c>
      <c r="O9" s="22">
        <f>IF(M9=0,"",N9/M9)</f>
        <v/>
      </c>
      <c r="P9" s="23">
        <f>IF(M9=0,"",COMBIN(M9,N9)*0.5^M9)</f>
        <v/>
      </c>
      <c r="Q9" s="22">
        <f>IF(M9=0,"",(O9-P9)/(1-P9))</f>
        <v/>
      </c>
      <c r="R9" s="21">
        <f>IF(Q9="","",IF(Q9&gt;0.74,"Excelente",IF(Q9&gt;=0.6,"Bueno",IF(Q9&gt;=0.4,"Regular","Revisar"))))</f>
        <v/>
      </c>
      <c r="S9" s="24" t="n"/>
      <c r="T9" s="24" t="n"/>
    </row>
    <row r="10">
      <c r="A10" s="19" t="inlineStr">
        <is>
          <t>A-N1</t>
        </is>
      </c>
      <c r="B10" s="19" t="inlineStr">
        <is>
          <t>A</t>
        </is>
      </c>
      <c r="C10" s="19" t="inlineStr">
        <is>
          <t>Alimentación e hidratación</t>
        </is>
      </c>
      <c r="D10" s="19" t="inlineStr">
        <is>
          <t>N1 · Proteínas en la alimentación</t>
        </is>
      </c>
      <c r="E10" s="19" t="inlineStr">
        <is>
          <t>¿Qué alimentos ayudan más a que la piel se mantenga firme y se repare?</t>
        </is>
      </c>
      <c r="F10" s="19" t="inlineStr">
        <is>
          <t>Huevo, leche, legumbres, pescado o carne</t>
        </is>
      </c>
      <c r="G10" s="20" t="n"/>
      <c r="H10" s="20" t="n"/>
      <c r="I10" s="20" t="n"/>
      <c r="J10" s="20" t="n"/>
      <c r="K10" s="20" t="n"/>
      <c r="L10" s="20" t="n"/>
      <c r="M10" s="21">
        <f>COUNT(G10:L10)</f>
        <v/>
      </c>
      <c r="N10" s="21">
        <f>COUNTIF(G10:L10,"&gt;=3")</f>
        <v/>
      </c>
      <c r="O10" s="22">
        <f>IF(M10=0,"",N10/M10)</f>
        <v/>
      </c>
      <c r="P10" s="23">
        <f>IF(M10=0,"",COMBIN(M10,N10)*0.5^M10)</f>
        <v/>
      </c>
      <c r="Q10" s="22">
        <f>IF(M10=0,"",(O10-P10)/(1-P10))</f>
        <v/>
      </c>
      <c r="R10" s="21">
        <f>IF(Q10="","",IF(Q10&gt;0.74,"Excelente",IF(Q10&gt;=0.6,"Bueno",IF(Q10&gt;=0.4,"Regular","Revisar"))))</f>
        <v/>
      </c>
      <c r="S10" s="24" t="n"/>
      <c r="T10" s="24" t="n"/>
    </row>
    <row r="11">
      <c r="A11" s="19" t="inlineStr">
        <is>
          <t>A-N2</t>
        </is>
      </c>
      <c r="B11" s="19" t="inlineStr">
        <is>
          <t>A</t>
        </is>
      </c>
      <c r="C11" s="19" t="inlineStr">
        <is>
          <t>Alimentación e hidratación</t>
        </is>
      </c>
      <c r="D11" s="19" t="inlineStr">
        <is>
          <t>N2 · Hidratación según indicación médica</t>
        </is>
      </c>
      <c r="E11" s="19" t="inlineStr">
        <is>
          <t>Si el médico no ha indicado limitar líquidos, ¿cuánta agua conviene al día?</t>
        </is>
      </c>
      <c r="F11" s="19" t="inlineStr">
        <is>
          <t>Unos 6 a 8 vasos, en sorbos durante el día</t>
        </is>
      </c>
      <c r="G11" s="20" t="n"/>
      <c r="H11" s="20" t="n"/>
      <c r="I11" s="20" t="n"/>
      <c r="J11" s="20" t="n"/>
      <c r="K11" s="20" t="n"/>
      <c r="L11" s="20" t="n"/>
      <c r="M11" s="21">
        <f>COUNT(G11:L11)</f>
        <v/>
      </c>
      <c r="N11" s="21">
        <f>COUNTIF(G11:L11,"&gt;=3")</f>
        <v/>
      </c>
      <c r="O11" s="22">
        <f>IF(M11=0,"",N11/M11)</f>
        <v/>
      </c>
      <c r="P11" s="23">
        <f>IF(M11=0,"",COMBIN(M11,N11)*0.5^M11)</f>
        <v/>
      </c>
      <c r="Q11" s="22">
        <f>IF(M11=0,"",(O11-P11)/(1-P11))</f>
        <v/>
      </c>
      <c r="R11" s="21">
        <f>IF(Q11="","",IF(Q11&gt;0.74,"Excelente",IF(Q11&gt;=0.6,"Bueno",IF(Q11&gt;=0.4,"Regular","Revisar"))))</f>
        <v/>
      </c>
      <c r="S11" s="24" t="n"/>
      <c r="T11" s="24" t="n"/>
    </row>
    <row r="12">
      <c r="A12" s="19" t="inlineStr">
        <is>
          <t>A-A1</t>
        </is>
      </c>
      <c r="B12" s="19" t="inlineStr">
        <is>
          <t>A</t>
        </is>
      </c>
      <c r="C12" s="19" t="inlineStr">
        <is>
          <t>Señales de alarma</t>
        </is>
      </c>
      <c r="D12" s="19" t="inlineStr">
        <is>
          <t>A1 · Cuándo consultar hoy</t>
        </is>
      </c>
      <c r="E12" s="19" t="inlineStr">
        <is>
          <t>¿En cuál de estas situaciones hay que consultar hoy al equipo de salud?</t>
        </is>
      </c>
      <c r="F12" s="19" t="inlineStr">
        <is>
          <t>Aparece una ampolla o la piel se abre</t>
        </is>
      </c>
      <c r="G12" s="20" t="n"/>
      <c r="H12" s="20" t="n"/>
      <c r="I12" s="20" t="n"/>
      <c r="J12" s="20" t="n"/>
      <c r="K12" s="20" t="n"/>
      <c r="L12" s="20" t="n"/>
      <c r="M12" s="21">
        <f>COUNT(G12:L12)</f>
        <v/>
      </c>
      <c r="N12" s="21">
        <f>COUNTIF(G12:L12,"&gt;=3")</f>
        <v/>
      </c>
      <c r="O12" s="22">
        <f>IF(M12=0,"",N12/M12)</f>
        <v/>
      </c>
      <c r="P12" s="23">
        <f>IF(M12=0,"",COMBIN(M12,N12)*0.5^M12)</f>
        <v/>
      </c>
      <c r="Q12" s="22">
        <f>IF(M12=0,"",(O12-P12)/(1-P12))</f>
        <v/>
      </c>
      <c r="R12" s="21">
        <f>IF(Q12="","",IF(Q12&gt;0.74,"Excelente",IF(Q12&gt;=0.6,"Bueno",IF(Q12&gt;=0.4,"Regular","Revisar"))))</f>
        <v/>
      </c>
      <c r="S12" s="24" t="n"/>
      <c r="T12" s="24" t="n"/>
    </row>
    <row r="13">
      <c r="A13" s="19" t="inlineStr">
        <is>
          <t>A-A2</t>
        </is>
      </c>
      <c r="B13" s="19" t="inlineStr">
        <is>
          <t>A</t>
        </is>
      </c>
      <c r="C13" s="19" t="inlineStr">
        <is>
          <t>Señales de alarma</t>
        </is>
      </c>
      <c r="D13" s="19" t="inlineStr">
        <is>
          <t>A2 · Cuándo acudir a urgencia</t>
        </is>
      </c>
      <c r="E13" s="19" t="inlineStr">
        <is>
          <t>La herida tiene mal olor y la persona tiene fiebre y está confundida. ¿Qué hace?</t>
        </is>
      </c>
      <c r="F13" s="19" t="inlineStr">
        <is>
          <t>Acude a un servicio de urgencia</t>
        </is>
      </c>
      <c r="G13" s="20" t="n"/>
      <c r="H13" s="20" t="n"/>
      <c r="I13" s="20" t="n"/>
      <c r="J13" s="20" t="n"/>
      <c r="K13" s="20" t="n"/>
      <c r="L13" s="20" t="n"/>
      <c r="M13" s="21">
        <f>COUNT(G13:L13)</f>
        <v/>
      </c>
      <c r="N13" s="21">
        <f>COUNTIF(G13:L13,"&gt;=3")</f>
        <v/>
      </c>
      <c r="O13" s="22">
        <f>IF(M13=0,"",N13/M13)</f>
        <v/>
      </c>
      <c r="P13" s="23">
        <f>IF(M13=0,"",COMBIN(M13,N13)*0.5^M13)</f>
        <v/>
      </c>
      <c r="Q13" s="22">
        <f>IF(M13=0,"",(O13-P13)/(1-P13))</f>
        <v/>
      </c>
      <c r="R13" s="21">
        <f>IF(Q13="","",IF(Q13&gt;0.74,"Excelente",IF(Q13&gt;=0.6,"Bueno",IF(Q13&gt;=0.4,"Regular","Revisar"))))</f>
        <v/>
      </c>
      <c r="S13" s="24" t="n"/>
      <c r="T13" s="24" t="n"/>
    </row>
    <row r="14">
      <c r="A14" s="19" t="inlineStr">
        <is>
          <t>B-P1</t>
        </is>
      </c>
      <c r="B14" s="19" t="inlineStr">
        <is>
          <t>B</t>
        </is>
      </c>
      <c r="C14" s="19" t="inlineStr">
        <is>
          <t>Cambios de posición</t>
        </is>
      </c>
      <c r="D14" s="19" t="inlineStr">
        <is>
          <t>P1 · Inclinación lateral de 30° con apoyo</t>
        </is>
      </c>
      <c r="E14" s="19" t="inlineStr">
        <is>
          <t>Al girar a la persona hacia un costado, lo más seguro es…</t>
        </is>
      </c>
      <c r="F14" s="19" t="inlineStr">
        <is>
          <t>Dejarla levemente inclinada, unos 30°, apoyada con almohadas</t>
        </is>
      </c>
      <c r="G14" s="20" t="n"/>
      <c r="H14" s="20" t="n"/>
      <c r="I14" s="20" t="n"/>
      <c r="J14" s="20" t="n"/>
      <c r="K14" s="20" t="n"/>
      <c r="L14" s="20" t="n"/>
      <c r="M14" s="21">
        <f>COUNT(G14:L14)</f>
        <v/>
      </c>
      <c r="N14" s="21">
        <f>COUNTIF(G14:L14,"&gt;=3")</f>
        <v/>
      </c>
      <c r="O14" s="22">
        <f>IF(M14=0,"",N14/M14)</f>
        <v/>
      </c>
      <c r="P14" s="23">
        <f>IF(M14=0,"",COMBIN(M14,N14)*0.5^M14)</f>
        <v/>
      </c>
      <c r="Q14" s="22">
        <f>IF(M14=0,"",(O14-P14)/(1-P14))</f>
        <v/>
      </c>
      <c r="R14" s="21">
        <f>IF(Q14="","",IF(Q14&gt;0.74,"Excelente",IF(Q14&gt;=0.6,"Bueno",IF(Q14&gt;=0.4,"Regular","Revisar"))))</f>
        <v/>
      </c>
      <c r="S14" s="24" t="n"/>
      <c r="T14" s="24" t="n"/>
    </row>
    <row r="15">
      <c r="A15" s="19" t="inlineStr">
        <is>
          <t>B-P2</t>
        </is>
      </c>
      <c r="B15" s="19" t="inlineStr">
        <is>
          <t>B</t>
        </is>
      </c>
      <c r="C15" s="19" t="inlineStr">
        <is>
          <t>Cambios de posición</t>
        </is>
      </c>
      <c r="D15" s="19" t="inlineStr">
        <is>
          <t>P2 · Talones sin apoyo (flotando)</t>
        </is>
      </c>
      <c r="E15" s="19" t="inlineStr">
        <is>
          <t>En la mañana los talones están rojos. ¿Qué ayuda más?</t>
        </is>
      </c>
      <c r="F15" s="19" t="inlineStr">
        <is>
          <t>Dejarlos en el aire con una almohada bajo las pantorrillas</t>
        </is>
      </c>
      <c r="G15" s="20" t="n"/>
      <c r="H15" s="20" t="n"/>
      <c r="I15" s="20" t="n"/>
      <c r="J15" s="20" t="n"/>
      <c r="K15" s="20" t="n"/>
      <c r="L15" s="20" t="n"/>
      <c r="M15" s="21">
        <f>COUNT(G15:L15)</f>
        <v/>
      </c>
      <c r="N15" s="21">
        <f>COUNTIF(G15:L15,"&gt;=3")</f>
        <v/>
      </c>
      <c r="O15" s="22">
        <f>IF(M15=0,"",N15/M15)</f>
        <v/>
      </c>
      <c r="P15" s="23">
        <f>IF(M15=0,"",COMBIN(M15,N15)*0.5^M15)</f>
        <v/>
      </c>
      <c r="Q15" s="22">
        <f>IF(M15=0,"",(O15-P15)/(1-P15))</f>
        <v/>
      </c>
      <c r="R15" s="21">
        <f>IF(Q15="","",IF(Q15&gt;0.74,"Excelente",IF(Q15&gt;=0.6,"Bueno",IF(Q15&gt;=0.4,"Regular","Revisar"))))</f>
        <v/>
      </c>
      <c r="S15" s="24" t="n"/>
      <c r="T15" s="24" t="n"/>
    </row>
    <row r="16">
      <c r="A16" s="19" t="inlineStr">
        <is>
          <t>B-S1</t>
        </is>
      </c>
      <c r="B16" s="19" t="inlineStr">
        <is>
          <t>B</t>
        </is>
      </c>
      <c r="C16" s="19" t="inlineStr">
        <is>
          <t>Cuidado de la piel</t>
        </is>
      </c>
      <c r="D16" s="19" t="inlineStr">
        <is>
          <t>S1 · Manejo de la humedad y crema barrera</t>
        </is>
      </c>
      <c r="E16" s="19" t="inlineStr">
        <is>
          <t>La piel de la zona del pañal está húmeda e irritada. ¿Qué hace?</t>
        </is>
      </c>
      <c r="F16" s="19" t="inlineStr">
        <is>
          <t>Cambia el pañal seguido, limpia con suavidad y usa crema barrera</t>
        </is>
      </c>
      <c r="G16" s="20" t="n"/>
      <c r="H16" s="20" t="n"/>
      <c r="I16" s="20" t="n"/>
      <c r="J16" s="20" t="n"/>
      <c r="K16" s="20" t="n"/>
      <c r="L16" s="20" t="n"/>
      <c r="M16" s="21">
        <f>COUNT(G16:L16)</f>
        <v/>
      </c>
      <c r="N16" s="21">
        <f>COUNTIF(G16:L16,"&gt;=3")</f>
        <v/>
      </c>
      <c r="O16" s="22">
        <f>IF(M16=0,"",N16/M16)</f>
        <v/>
      </c>
      <c r="P16" s="23">
        <f>IF(M16=0,"",COMBIN(M16,N16)*0.5^M16)</f>
        <v/>
      </c>
      <c r="Q16" s="22">
        <f>IF(M16=0,"",(O16-P16)/(1-P16))</f>
        <v/>
      </c>
      <c r="R16" s="21">
        <f>IF(Q16="","",IF(Q16&gt;0.74,"Excelente",IF(Q16&gt;=0.6,"Bueno",IF(Q16&gt;=0.4,"Regular","Revisar"))))</f>
        <v/>
      </c>
      <c r="S16" s="24" t="n"/>
      <c r="T16" s="24" t="n"/>
    </row>
    <row r="17">
      <c r="A17" s="19" t="inlineStr">
        <is>
          <t>B-S2</t>
        </is>
      </c>
      <c r="B17" s="19" t="inlineStr">
        <is>
          <t>B</t>
        </is>
      </c>
      <c r="C17" s="19" t="inlineStr">
        <is>
          <t>Cuidado de la piel</t>
        </is>
      </c>
      <c r="D17" s="19" t="inlineStr">
        <is>
          <t>S2 · Cuidar la piel sin dañarla</t>
        </is>
      </c>
      <c r="E17" s="19" t="inlineStr">
        <is>
          <t>¿Qué conviene usar para hidratar la piel seca?</t>
        </is>
      </c>
      <c r="F17" s="19" t="inlineStr">
        <is>
          <t>Crema hidratante sin perfume</t>
        </is>
      </c>
      <c r="G17" s="20" t="n"/>
      <c r="H17" s="20" t="n"/>
      <c r="I17" s="20" t="n"/>
      <c r="J17" s="20" t="n"/>
      <c r="K17" s="20" t="n"/>
      <c r="L17" s="20" t="n"/>
      <c r="M17" s="21">
        <f>COUNT(G17:L17)</f>
        <v/>
      </c>
      <c r="N17" s="21">
        <f>COUNTIF(G17:L17,"&gt;=3")</f>
        <v/>
      </c>
      <c r="O17" s="22">
        <f>IF(M17=0,"",N17/M17)</f>
        <v/>
      </c>
      <c r="P17" s="23">
        <f>IF(M17=0,"",COMBIN(M17,N17)*0.5^M17)</f>
        <v/>
      </c>
      <c r="Q17" s="22">
        <f>IF(M17=0,"",(O17-P17)/(1-P17))</f>
        <v/>
      </c>
      <c r="R17" s="21">
        <f>IF(Q17="","",IF(Q17&gt;0.74,"Excelente",IF(Q17&gt;=0.6,"Bueno",IF(Q17&gt;=0.4,"Regular","Revisar"))))</f>
        <v/>
      </c>
      <c r="S17" s="24" t="n"/>
      <c r="T17" s="24" t="n"/>
    </row>
    <row r="18">
      <c r="A18" s="19" t="inlineStr">
        <is>
          <t>B-R1</t>
        </is>
      </c>
      <c r="B18" s="19" t="inlineStr">
        <is>
          <t>B</t>
        </is>
      </c>
      <c r="C18" s="19" t="inlineStr">
        <is>
          <t>Revisión de la piel</t>
        </is>
      </c>
      <c r="D18" s="19" t="inlineStr">
        <is>
          <t>R1 · Frecuencia y momento de la revisión</t>
        </is>
      </c>
      <c r="E18" s="19" t="inlineStr">
        <is>
          <t>¿Cuál es el momento más práctico para revisar la piel cada día?</t>
        </is>
      </c>
      <c r="F18" s="19" t="inlineStr">
        <is>
          <t>Durante el aseo diario</t>
        </is>
      </c>
      <c r="G18" s="20" t="n"/>
      <c r="H18" s="20" t="n"/>
      <c r="I18" s="20" t="n"/>
      <c r="J18" s="20" t="n"/>
      <c r="K18" s="20" t="n"/>
      <c r="L18" s="20" t="n"/>
      <c r="M18" s="21">
        <f>COUNT(G18:L18)</f>
        <v/>
      </c>
      <c r="N18" s="21">
        <f>COUNTIF(G18:L18,"&gt;=3")</f>
        <v/>
      </c>
      <c r="O18" s="22">
        <f>IF(M18=0,"",N18/M18)</f>
        <v/>
      </c>
      <c r="P18" s="23">
        <f>IF(M18=0,"",COMBIN(M18,N18)*0.5^M18)</f>
        <v/>
      </c>
      <c r="Q18" s="22">
        <f>IF(M18=0,"",(O18-P18)/(1-P18))</f>
        <v/>
      </c>
      <c r="R18" s="21">
        <f>IF(Q18="","",IF(Q18&gt;0.74,"Excelente",IF(Q18&gt;=0.6,"Bueno",IF(Q18&gt;=0.4,"Regular","Revisar"))))</f>
        <v/>
      </c>
      <c r="S18" s="24" t="n"/>
      <c r="T18" s="24" t="n"/>
    </row>
    <row r="19">
      <c r="A19" s="19" t="inlineStr">
        <is>
          <t>B-R2</t>
        </is>
      </c>
      <c r="B19" s="19" t="inlineStr">
        <is>
          <t>B</t>
        </is>
      </c>
      <c r="C19" s="19" t="inlineStr">
        <is>
          <t>Revisión de la piel</t>
        </is>
      </c>
      <c r="D19" s="19" t="inlineStr">
        <is>
          <t>R2 · Interpretación de la prueba del dedo</t>
        </is>
      </c>
      <c r="E19" s="19" t="inlineStr">
        <is>
          <t>Presiona una zona roja, se pone blanca y al soltar vuelve el color. ¿Qué indica?</t>
        </is>
      </c>
      <c r="F19" s="19" t="inlineStr">
        <is>
          <t>Que la sangre todavía circula: quite el apoyo y vigile</t>
        </is>
      </c>
      <c r="G19" s="20" t="n"/>
      <c r="H19" s="20" t="n"/>
      <c r="I19" s="20" t="n"/>
      <c r="J19" s="20" t="n"/>
      <c r="K19" s="20" t="n"/>
      <c r="L19" s="20" t="n"/>
      <c r="M19" s="21">
        <f>COUNT(G19:L19)</f>
        <v/>
      </c>
      <c r="N19" s="21">
        <f>COUNTIF(G19:L19,"&gt;=3")</f>
        <v/>
      </c>
      <c r="O19" s="22">
        <f>IF(M19=0,"",N19/M19)</f>
        <v/>
      </c>
      <c r="P19" s="23">
        <f>IF(M19=0,"",COMBIN(M19,N19)*0.5^M19)</f>
        <v/>
      </c>
      <c r="Q19" s="22">
        <f>IF(M19=0,"",(O19-P19)/(1-P19))</f>
        <v/>
      </c>
      <c r="R19" s="21">
        <f>IF(Q19="","",IF(Q19&gt;0.74,"Excelente",IF(Q19&gt;=0.6,"Bueno",IF(Q19&gt;=0.4,"Regular","Revisar"))))</f>
        <v/>
      </c>
      <c r="S19" s="24" t="n"/>
      <c r="T19" s="24" t="n"/>
    </row>
    <row r="20">
      <c r="A20" s="19" t="inlineStr">
        <is>
          <t>B-U1</t>
        </is>
      </c>
      <c r="B20" s="19" t="inlineStr">
        <is>
          <t>B</t>
        </is>
      </c>
      <c r="C20" s="19" t="inlineStr">
        <is>
          <t>Colchón, cojín y apoyos</t>
        </is>
      </c>
      <c r="D20" s="19" t="inlineStr">
        <is>
          <t>U1 · Evitar dispositivos inadecuados</t>
        </is>
      </c>
      <c r="E20" s="19" t="inlineStr">
        <is>
          <t>¿Sirve poner un guante con agua bajo los talones?</t>
        </is>
      </c>
      <c r="F20" s="19" t="inlineStr">
        <is>
          <t>No: es mejor una almohada bajo las pantorrillas</t>
        </is>
      </c>
      <c r="G20" s="20" t="n"/>
      <c r="H20" s="20" t="n"/>
      <c r="I20" s="20" t="n"/>
      <c r="J20" s="20" t="n"/>
      <c r="K20" s="20" t="n"/>
      <c r="L20" s="20" t="n"/>
      <c r="M20" s="21">
        <f>COUNT(G20:L20)</f>
        <v/>
      </c>
      <c r="N20" s="21">
        <f>COUNTIF(G20:L20,"&gt;=3")</f>
        <v/>
      </c>
      <c r="O20" s="22">
        <f>IF(M20=0,"",N20/M20)</f>
        <v/>
      </c>
      <c r="P20" s="23">
        <f>IF(M20=0,"",COMBIN(M20,N20)*0.5^M20)</f>
        <v/>
      </c>
      <c r="Q20" s="22">
        <f>IF(M20=0,"",(O20-P20)/(1-P20))</f>
        <v/>
      </c>
      <c r="R20" s="21">
        <f>IF(Q20="","",IF(Q20&gt;0.74,"Excelente",IF(Q20&gt;=0.6,"Bueno",IF(Q20&gt;=0.4,"Regular","Revisar"))))</f>
        <v/>
      </c>
      <c r="S20" s="24" t="n"/>
      <c r="T20" s="24" t="n"/>
    </row>
    <row r="21">
      <c r="A21" s="19" t="inlineStr">
        <is>
          <t>B-U2</t>
        </is>
      </c>
      <c r="B21" s="19" t="inlineStr">
        <is>
          <t>B</t>
        </is>
      </c>
      <c r="C21" s="19" t="inlineStr">
        <is>
          <t>Colchón, cojín y apoyos</t>
        </is>
      </c>
      <c r="D21" s="19" t="inlineStr">
        <is>
          <t>U2 · La superficie no reemplaza los cambios de posición</t>
        </is>
      </c>
      <c r="E21" s="19" t="inlineStr">
        <is>
          <t>Aunque el cojín del sillón sea bueno, al estar sentado…</t>
        </is>
      </c>
      <c r="F21" s="19" t="inlineStr">
        <is>
          <t>Hay que cambiar el apoyo o la posición seguido</t>
        </is>
      </c>
      <c r="G21" s="20" t="n"/>
      <c r="H21" s="20" t="n"/>
      <c r="I21" s="20" t="n"/>
      <c r="J21" s="20" t="n"/>
      <c r="K21" s="20" t="n"/>
      <c r="L21" s="20" t="n"/>
      <c r="M21" s="21">
        <f>COUNT(G21:L21)</f>
        <v/>
      </c>
      <c r="N21" s="21">
        <f>COUNTIF(G21:L21,"&gt;=3")</f>
        <v/>
      </c>
      <c r="O21" s="22">
        <f>IF(M21=0,"",N21/M21)</f>
        <v/>
      </c>
      <c r="P21" s="23">
        <f>IF(M21=0,"",COMBIN(M21,N21)*0.5^M21)</f>
        <v/>
      </c>
      <c r="Q21" s="22">
        <f>IF(M21=0,"",(O21-P21)/(1-P21))</f>
        <v/>
      </c>
      <c r="R21" s="21">
        <f>IF(Q21="","",IF(Q21&gt;0.74,"Excelente",IF(Q21&gt;=0.6,"Bueno",IF(Q21&gt;=0.4,"Regular","Revisar"))))</f>
        <v/>
      </c>
      <c r="S21" s="24" t="n"/>
      <c r="T21" s="24" t="n"/>
    </row>
    <row r="22">
      <c r="A22" s="19" t="inlineStr">
        <is>
          <t>B-N1</t>
        </is>
      </c>
      <c r="B22" s="19" t="inlineStr">
        <is>
          <t>B</t>
        </is>
      </c>
      <c r="C22" s="19" t="inlineStr">
        <is>
          <t>Alimentación e hidratación</t>
        </is>
      </c>
      <c r="D22" s="19" t="inlineStr">
        <is>
          <t>N1 · Proteínas en la alimentación</t>
        </is>
      </c>
      <c r="E22" s="19" t="inlineStr">
        <is>
          <t>Para que la piel resista mejor, en cada comida conviene incluir…</t>
        </is>
      </c>
      <c r="F22" s="19" t="inlineStr">
        <is>
          <t>Proteínas</t>
        </is>
      </c>
      <c r="G22" s="20" t="n"/>
      <c r="H22" s="20" t="n"/>
      <c r="I22" s="20" t="n"/>
      <c r="J22" s="20" t="n"/>
      <c r="K22" s="20" t="n"/>
      <c r="L22" s="20" t="n"/>
      <c r="M22" s="21">
        <f>COUNT(G22:L22)</f>
        <v/>
      </c>
      <c r="N22" s="21">
        <f>COUNTIF(G22:L22,"&gt;=3")</f>
        <v/>
      </c>
      <c r="O22" s="22">
        <f>IF(M22=0,"",N22/M22)</f>
        <v/>
      </c>
      <c r="P22" s="23">
        <f>IF(M22=0,"",COMBIN(M22,N22)*0.5^M22)</f>
        <v/>
      </c>
      <c r="Q22" s="22">
        <f>IF(M22=0,"",(O22-P22)/(1-P22))</f>
        <v/>
      </c>
      <c r="R22" s="21">
        <f>IF(Q22="","",IF(Q22&gt;0.74,"Excelente",IF(Q22&gt;=0.6,"Bueno",IF(Q22&gt;=0.4,"Regular","Revisar"))))</f>
        <v/>
      </c>
      <c r="S22" s="24" t="n"/>
      <c r="T22" s="24" t="n"/>
    </row>
    <row r="23">
      <c r="A23" s="19" t="inlineStr">
        <is>
          <t>B-N2</t>
        </is>
      </c>
      <c r="B23" s="19" t="inlineStr">
        <is>
          <t>B</t>
        </is>
      </c>
      <c r="C23" s="19" t="inlineStr">
        <is>
          <t>Alimentación e hidratación</t>
        </is>
      </c>
      <c r="D23" s="19" t="inlineStr">
        <is>
          <t>N2 · Hidratación según indicación médica</t>
        </is>
      </c>
      <c r="E23" s="19" t="inlineStr">
        <is>
          <t>El médico indicó limitar los líquidos por el corazón. ¿Qué hace con la meta de agua?</t>
        </is>
      </c>
      <c r="F23" s="19" t="inlineStr">
        <is>
          <t>Sigue la cantidad que indicó su médico</t>
        </is>
      </c>
      <c r="G23" s="20" t="n"/>
      <c r="H23" s="20" t="n"/>
      <c r="I23" s="20" t="n"/>
      <c r="J23" s="20" t="n"/>
      <c r="K23" s="20" t="n"/>
      <c r="L23" s="20" t="n"/>
      <c r="M23" s="21">
        <f>COUNT(G23:L23)</f>
        <v/>
      </c>
      <c r="N23" s="21">
        <f>COUNTIF(G23:L23,"&gt;=3")</f>
        <v/>
      </c>
      <c r="O23" s="22">
        <f>IF(M23=0,"",N23/M23)</f>
        <v/>
      </c>
      <c r="P23" s="23">
        <f>IF(M23=0,"",COMBIN(M23,N23)*0.5^M23)</f>
        <v/>
      </c>
      <c r="Q23" s="22">
        <f>IF(M23=0,"",(O23-P23)/(1-P23))</f>
        <v/>
      </c>
      <c r="R23" s="21">
        <f>IF(Q23="","",IF(Q23&gt;0.74,"Excelente",IF(Q23&gt;=0.6,"Bueno",IF(Q23&gt;=0.4,"Regular","Revisar"))))</f>
        <v/>
      </c>
      <c r="S23" s="24" t="n"/>
      <c r="T23" s="24" t="n"/>
    </row>
    <row r="24">
      <c r="A24" s="19" t="inlineStr">
        <is>
          <t>B-A1</t>
        </is>
      </c>
      <c r="B24" s="19" t="inlineStr">
        <is>
          <t>B</t>
        </is>
      </c>
      <c r="C24" s="19" t="inlineStr">
        <is>
          <t>Señales de alarma</t>
        </is>
      </c>
      <c r="D24" s="19" t="inlineStr">
        <is>
          <t>A1 · Cuándo consultar hoy</t>
        </is>
      </c>
      <c r="E24" s="19" t="inlineStr">
        <is>
          <t>En el talón aparece una zona morada o granate. ¿Qué hace?</t>
        </is>
      </c>
      <c r="F24" s="19" t="inlineStr">
        <is>
          <t>La quita del apoyo y consulta hoy</t>
        </is>
      </c>
      <c r="G24" s="20" t="n"/>
      <c r="H24" s="20" t="n"/>
      <c r="I24" s="20" t="n"/>
      <c r="J24" s="20" t="n"/>
      <c r="K24" s="20" t="n"/>
      <c r="L24" s="20" t="n"/>
      <c r="M24" s="21">
        <f>COUNT(G24:L24)</f>
        <v/>
      </c>
      <c r="N24" s="21">
        <f>COUNTIF(G24:L24,"&gt;=3")</f>
        <v/>
      </c>
      <c r="O24" s="22">
        <f>IF(M24=0,"",N24/M24)</f>
        <v/>
      </c>
      <c r="P24" s="23">
        <f>IF(M24=0,"",COMBIN(M24,N24)*0.5^M24)</f>
        <v/>
      </c>
      <c r="Q24" s="22">
        <f>IF(M24=0,"",(O24-P24)/(1-P24))</f>
        <v/>
      </c>
      <c r="R24" s="21">
        <f>IF(Q24="","",IF(Q24&gt;0.74,"Excelente",IF(Q24&gt;=0.6,"Bueno",IF(Q24&gt;=0.4,"Regular","Revisar"))))</f>
        <v/>
      </c>
      <c r="S24" s="24" t="n"/>
      <c r="T24" s="24" t="n"/>
    </row>
    <row r="25">
      <c r="A25" s="19" t="inlineStr">
        <is>
          <t>B-A2</t>
        </is>
      </c>
      <c r="B25" s="19" t="inlineStr">
        <is>
          <t>B</t>
        </is>
      </c>
      <c r="C25" s="19" t="inlineStr">
        <is>
          <t>Señales de alarma</t>
        </is>
      </c>
      <c r="D25" s="19" t="inlineStr">
        <is>
          <t>A2 · Cuándo acudir a urgencia</t>
        </is>
      </c>
      <c r="E25" s="19" t="inlineStr">
        <is>
          <t>La herida tiene pus, el enrojecimiento se extiende y hay escalofríos. ¿Qué corresponde?</t>
        </is>
      </c>
      <c r="F25" s="19" t="inlineStr">
        <is>
          <t>Acudir a un servicio de urgencia</t>
        </is>
      </c>
      <c r="G25" s="20" t="n"/>
      <c r="H25" s="20" t="n"/>
      <c r="I25" s="20" t="n"/>
      <c r="J25" s="20" t="n"/>
      <c r="K25" s="20" t="n"/>
      <c r="L25" s="20" t="n"/>
      <c r="M25" s="21">
        <f>COUNT(G25:L25)</f>
        <v/>
      </c>
      <c r="N25" s="21">
        <f>COUNTIF(G25:L25,"&gt;=3")</f>
        <v/>
      </c>
      <c r="O25" s="22">
        <f>IF(M25=0,"",N25/M25)</f>
        <v/>
      </c>
      <c r="P25" s="23">
        <f>IF(M25=0,"",COMBIN(M25,N25)*0.5^M25)</f>
        <v/>
      </c>
      <c r="Q25" s="22">
        <f>IF(M25=0,"",(O25-P25)/(1-P25))</f>
        <v/>
      </c>
      <c r="R25" s="21">
        <f>IF(Q25="","",IF(Q25&gt;0.74,"Excelente",IF(Q25&gt;=0.6,"Bueno",IF(Q25&gt;=0.4,"Regular","Revisar"))))</f>
        <v/>
      </c>
      <c r="S25" s="24" t="n"/>
      <c r="T25" s="24" t="n"/>
    </row>
    <row r="26">
      <c r="A26" s="19" t="inlineStr">
        <is>
          <t>D-01</t>
        </is>
      </c>
      <c r="B26" s="19" t="inlineStr">
        <is>
          <t>D</t>
        </is>
      </c>
      <c r="C26" s="19" t="inlineStr">
        <is>
          <t>Colchón, cojín y apoyos</t>
        </is>
      </c>
      <c r="D26" s="19" t="inlineStr">
        <is>
          <t>U2 · La superficie no reemplaza los cambios de posición</t>
        </is>
      </c>
      <c r="E26" s="19" t="inlineStr">
        <is>
          <t>¿Cómo deben quedar las sábanas bajo la persona?</t>
        </is>
      </c>
      <c r="F26" s="19" t="inlineStr">
        <is>
          <t>Estiradas, sin arrugas ni migas</t>
        </is>
      </c>
      <c r="G26" s="20" t="n"/>
      <c r="H26" s="20" t="n"/>
      <c r="I26" s="20" t="n"/>
      <c r="J26" s="20" t="n"/>
      <c r="K26" s="20" t="n"/>
      <c r="L26" s="20" t="n"/>
      <c r="M26" s="21">
        <f>COUNT(G26:L26)</f>
        <v/>
      </c>
      <c r="N26" s="21">
        <f>COUNTIF(G26:L26,"&gt;=3")</f>
        <v/>
      </c>
      <c r="O26" s="22">
        <f>IF(M26=0,"",N26/M26)</f>
        <v/>
      </c>
      <c r="P26" s="23">
        <f>IF(M26=0,"",COMBIN(M26,N26)*0.5^M26)</f>
        <v/>
      </c>
      <c r="Q26" s="22">
        <f>IF(M26=0,"",(O26-P26)/(1-P26))</f>
        <v/>
      </c>
      <c r="R26" s="21">
        <f>IF(Q26="","",IF(Q26&gt;0.74,"Excelente",IF(Q26&gt;=0.6,"Bueno",IF(Q26&gt;=0.4,"Regular","Revisar"))))</f>
        <v/>
      </c>
      <c r="S26" s="24" t="n"/>
      <c r="T26" s="24" t="n"/>
    </row>
    <row r="27">
      <c r="A27" s="19" t="inlineStr">
        <is>
          <t>D-02</t>
        </is>
      </c>
      <c r="B27" s="19" t="inlineStr">
        <is>
          <t>D</t>
        </is>
      </c>
      <c r="C27" s="19" t="inlineStr">
        <is>
          <t>Cambios de posición</t>
        </is>
      </c>
      <c r="D27" s="19" t="inlineStr">
        <is>
          <t>P1 · Inclinación lateral de 30° con apoyo</t>
        </is>
      </c>
      <c r="E27" s="19" t="inlineStr">
        <is>
          <t>¿Hasta dónde conviene levantar la cabecera de la cama?</t>
        </is>
      </c>
      <c r="F27" s="19" t="inlineStr">
        <is>
          <t>Lo más baja posible, no más de 30°, salvo para comer</t>
        </is>
      </c>
      <c r="G27" s="20" t="n"/>
      <c r="H27" s="20" t="n"/>
      <c r="I27" s="20" t="n"/>
      <c r="J27" s="20" t="n"/>
      <c r="K27" s="20" t="n"/>
      <c r="L27" s="20" t="n"/>
      <c r="M27" s="21">
        <f>COUNT(G27:L27)</f>
        <v/>
      </c>
      <c r="N27" s="21">
        <f>COUNTIF(G27:L27,"&gt;=3")</f>
        <v/>
      </c>
      <c r="O27" s="22">
        <f>IF(M27=0,"",N27/M27)</f>
        <v/>
      </c>
      <c r="P27" s="23">
        <f>IF(M27=0,"",COMBIN(M27,N27)*0.5^M27)</f>
        <v/>
      </c>
      <c r="Q27" s="22">
        <f>IF(M27=0,"",(O27-P27)/(1-P27))</f>
        <v/>
      </c>
      <c r="R27" s="21">
        <f>IF(Q27="","",IF(Q27&gt;0.74,"Excelente",IF(Q27&gt;=0.6,"Bueno",IF(Q27&gt;=0.4,"Regular","Revisar"))))</f>
        <v/>
      </c>
      <c r="S27" s="24" t="n"/>
      <c r="T27" s="24" t="n"/>
    </row>
    <row r="28">
      <c r="A28" s="19" t="inlineStr">
        <is>
          <t>D-03</t>
        </is>
      </c>
      <c r="B28" s="19" t="inlineStr">
        <is>
          <t>D</t>
        </is>
      </c>
      <c r="C28" s="19" t="inlineStr">
        <is>
          <t>Colchón, cojín y apoyos</t>
        </is>
      </c>
      <c r="D28" s="19" t="inlineStr">
        <is>
          <t>U2 · La superficie no reemplaza los cambios de posición</t>
        </is>
      </c>
      <c r="E28" s="19" t="inlineStr">
        <is>
          <t>Si está sentado y puede moverse, ¿cada cuánto conviene cambiar el apoyo?</t>
        </is>
      </c>
      <c r="F28" s="19" t="inlineStr">
        <is>
          <t>Cada 15 a 30 minutos, inclinándose hacia adelante o a un lado</t>
        </is>
      </c>
      <c r="G28" s="20" t="n"/>
      <c r="H28" s="20" t="n"/>
      <c r="I28" s="20" t="n"/>
      <c r="J28" s="20" t="n"/>
      <c r="K28" s="20" t="n"/>
      <c r="L28" s="20" t="n"/>
      <c r="M28" s="21">
        <f>COUNT(G28:L28)</f>
        <v/>
      </c>
      <c r="N28" s="21">
        <f>COUNTIF(G28:L28,"&gt;=3")</f>
        <v/>
      </c>
      <c r="O28" s="22">
        <f>IF(M28=0,"",N28/M28)</f>
        <v/>
      </c>
      <c r="P28" s="23">
        <f>IF(M28=0,"",COMBIN(M28,N28)*0.5^M28)</f>
        <v/>
      </c>
      <c r="Q28" s="22">
        <f>IF(M28=0,"",(O28-P28)/(1-P28))</f>
        <v/>
      </c>
      <c r="R28" s="21">
        <f>IF(Q28="","",IF(Q28&gt;0.74,"Excelente",IF(Q28&gt;=0.6,"Bueno",IF(Q28&gt;=0.4,"Regular","Revisar"))))</f>
        <v/>
      </c>
      <c r="S28" s="24" t="n"/>
      <c r="T28" s="24" t="n"/>
    </row>
    <row r="29">
      <c r="A29" s="19" t="inlineStr">
        <is>
          <t>D-04</t>
        </is>
      </c>
      <c r="B29" s="19" t="inlineStr">
        <is>
          <t>D</t>
        </is>
      </c>
      <c r="C29" s="19" t="inlineStr">
        <is>
          <t>Revisión de la piel</t>
        </is>
      </c>
      <c r="D29" s="19" t="inlineStr">
        <is>
          <t>R2 · Interpretación de la prueba del dedo</t>
        </is>
      </c>
      <c r="E29" s="19" t="inlineStr">
        <is>
          <t>En piel morena u oscura, ¿cómo se reconoce una zona en riesgo?</t>
        </is>
      </c>
      <c r="F29" s="19" t="inlineStr">
        <is>
          <t>Por calor, dureza, hinchazón, dolor o un tono más oscuro</t>
        </is>
      </c>
      <c r="G29" s="20" t="n"/>
      <c r="H29" s="20" t="n"/>
      <c r="I29" s="20" t="n"/>
      <c r="J29" s="20" t="n"/>
      <c r="K29" s="20" t="n"/>
      <c r="L29" s="20" t="n"/>
      <c r="M29" s="21">
        <f>COUNT(G29:L29)</f>
        <v/>
      </c>
      <c r="N29" s="21">
        <f>COUNTIF(G29:L29,"&gt;=3")</f>
        <v/>
      </c>
      <c r="O29" s="22">
        <f>IF(M29=0,"",N29/M29)</f>
        <v/>
      </c>
      <c r="P29" s="23">
        <f>IF(M29=0,"",COMBIN(M29,N29)*0.5^M29)</f>
        <v/>
      </c>
      <c r="Q29" s="22">
        <f>IF(M29=0,"",(O29-P29)/(1-P29))</f>
        <v/>
      </c>
      <c r="R29" s="21">
        <f>IF(Q29="","",IF(Q29&gt;0.74,"Excelente",IF(Q29&gt;=0.6,"Bueno",IF(Q29&gt;=0.4,"Regular","Revisar"))))</f>
        <v/>
      </c>
      <c r="S29" s="24" t="n"/>
      <c r="T29" s="24" t="n"/>
    </row>
    <row r="30">
      <c r="A30" s="19" t="inlineStr">
        <is>
          <t>D-05</t>
        </is>
      </c>
      <c r="B30" s="19" t="inlineStr">
        <is>
          <t>D</t>
        </is>
      </c>
      <c r="C30" s="19" t="inlineStr">
        <is>
          <t>Revisión de la piel</t>
        </is>
      </c>
      <c r="D30" s="19" t="inlineStr">
        <is>
          <t>R1 · Frecuencia y momento de la revisión</t>
        </is>
      </c>
      <c r="E30" s="19" t="inlineStr">
        <is>
          <t>¿Dónde más hay que revisar, además de los huesos que se apoyan?</t>
        </is>
      </c>
      <c r="F30" s="19" t="inlineStr">
        <is>
          <t>Bajo sondas, mascarillas de oxígeno y medias</t>
        </is>
      </c>
      <c r="G30" s="20" t="n"/>
      <c r="H30" s="20" t="n"/>
      <c r="I30" s="20" t="n"/>
      <c r="J30" s="20" t="n"/>
      <c r="K30" s="20" t="n"/>
      <c r="L30" s="20" t="n"/>
      <c r="M30" s="21">
        <f>COUNT(G30:L30)</f>
        <v/>
      </c>
      <c r="N30" s="21">
        <f>COUNTIF(G30:L30,"&gt;=3")</f>
        <v/>
      </c>
      <c r="O30" s="22">
        <f>IF(M30=0,"",N30/M30)</f>
        <v/>
      </c>
      <c r="P30" s="23">
        <f>IF(M30=0,"",COMBIN(M30,N30)*0.5^M30)</f>
        <v/>
      </c>
      <c r="Q30" s="22">
        <f>IF(M30=0,"",(O30-P30)/(1-P30))</f>
        <v/>
      </c>
      <c r="R30" s="21">
        <f>IF(Q30="","",IF(Q30&gt;0.74,"Excelente",IF(Q30&gt;=0.6,"Bueno",IF(Q30&gt;=0.4,"Regular","Revisar"))))</f>
        <v/>
      </c>
      <c r="S30" s="24" t="n"/>
      <c r="T30" s="24" t="n"/>
    </row>
    <row r="31">
      <c r="A31" s="19" t="inlineStr">
        <is>
          <t>D-06</t>
        </is>
      </c>
      <c r="B31" s="19" t="inlineStr">
        <is>
          <t>D</t>
        </is>
      </c>
      <c r="C31" s="19" t="inlineStr">
        <is>
          <t>Cambios de posición</t>
        </is>
      </c>
      <c r="D31" s="19" t="inlineStr">
        <is>
          <t>P1 · Inclinación lateral de 30° con apoyo</t>
        </is>
      </c>
      <c r="E31" s="19" t="inlineStr">
        <is>
          <t>Para subir a la persona en la cama, lo mejor es…</t>
        </is>
      </c>
      <c r="F31" s="19" t="inlineStr">
        <is>
          <t>Levantarla con una sábana entre dos personas</t>
        </is>
      </c>
      <c r="G31" s="20" t="n"/>
      <c r="H31" s="20" t="n"/>
      <c r="I31" s="20" t="n"/>
      <c r="J31" s="20" t="n"/>
      <c r="K31" s="20" t="n"/>
      <c r="L31" s="20" t="n"/>
      <c r="M31" s="21">
        <f>COUNT(G31:L31)</f>
        <v/>
      </c>
      <c r="N31" s="21">
        <f>COUNTIF(G31:L31,"&gt;=3")</f>
        <v/>
      </c>
      <c r="O31" s="22">
        <f>IF(M31=0,"",N31/M31)</f>
        <v/>
      </c>
      <c r="P31" s="23">
        <f>IF(M31=0,"",COMBIN(M31,N31)*0.5^M31)</f>
        <v/>
      </c>
      <c r="Q31" s="22">
        <f>IF(M31=0,"",(O31-P31)/(1-P31))</f>
        <v/>
      </c>
      <c r="R31" s="21">
        <f>IF(Q31="","",IF(Q31&gt;0.74,"Excelente",IF(Q31&gt;=0.6,"Bueno",IF(Q31&gt;=0.4,"Regular","Revisar"))))</f>
        <v/>
      </c>
      <c r="S31" s="24" t="n"/>
      <c r="T31" s="24" t="n"/>
    </row>
    <row r="32">
      <c r="A32" s="19" t="inlineStr">
        <is>
          <t>D-07</t>
        </is>
      </c>
      <c r="B32" s="19" t="inlineStr">
        <is>
          <t>D</t>
        </is>
      </c>
      <c r="C32" s="19" t="inlineStr">
        <is>
          <t>Cambios de posición</t>
        </is>
      </c>
      <c r="D32" s="19" t="inlineStr">
        <is>
          <t>P1 · Inclinación lateral de 30° con apoyo</t>
        </is>
      </c>
      <c r="E32" s="19" t="inlineStr">
        <is>
          <t>Acostada de lado, ¿qué evita que una rodilla apriete a la otra?</t>
        </is>
      </c>
      <c r="F32" s="19" t="inlineStr">
        <is>
          <t>Una almohada entre las rodillas</t>
        </is>
      </c>
      <c r="G32" s="20" t="n"/>
      <c r="H32" s="20" t="n"/>
      <c r="I32" s="20" t="n"/>
      <c r="J32" s="20" t="n"/>
      <c r="K32" s="20" t="n"/>
      <c r="L32" s="20" t="n"/>
      <c r="M32" s="21">
        <f>COUNT(G32:L32)</f>
        <v/>
      </c>
      <c r="N32" s="21">
        <f>COUNTIF(G32:L32,"&gt;=3")</f>
        <v/>
      </c>
      <c r="O32" s="22">
        <f>IF(M32=0,"",N32/M32)</f>
        <v/>
      </c>
      <c r="P32" s="23">
        <f>IF(M32=0,"",COMBIN(M32,N32)*0.5^M32)</f>
        <v/>
      </c>
      <c r="Q32" s="22">
        <f>IF(M32=0,"",(O32-P32)/(1-P32))</f>
        <v/>
      </c>
      <c r="R32" s="21">
        <f>IF(Q32="","",IF(Q32&gt;0.74,"Excelente",IF(Q32&gt;=0.6,"Bueno",IF(Q32&gt;=0.4,"Regular","Revisar"))))</f>
        <v/>
      </c>
      <c r="S32" s="24" t="n"/>
      <c r="T32" s="24" t="n"/>
    </row>
    <row r="33">
      <c r="A33" s="19" t="inlineStr">
        <is>
          <t>D-08</t>
        </is>
      </c>
      <c r="B33" s="19" t="inlineStr">
        <is>
          <t>D</t>
        </is>
      </c>
      <c r="C33" s="19" t="inlineStr">
        <is>
          <t>Alimentación e hidratación</t>
        </is>
      </c>
      <c r="D33" s="19" t="inlineStr">
        <is>
          <t>N2 · Hidratación según indicación médica</t>
        </is>
      </c>
      <c r="E33" s="19" t="inlineStr">
        <is>
          <t>¿Cuál es la mejor forma de ofrecer agua?</t>
        </is>
      </c>
      <c r="F33" s="19" t="inlineStr">
        <is>
          <t>En pequeños sorbos durante el día</t>
        </is>
      </c>
      <c r="G33" s="20" t="n"/>
      <c r="H33" s="20" t="n"/>
      <c r="I33" s="20" t="n"/>
      <c r="J33" s="20" t="n"/>
      <c r="K33" s="20" t="n"/>
      <c r="L33" s="20" t="n"/>
      <c r="M33" s="21">
        <f>COUNT(G33:L33)</f>
        <v/>
      </c>
      <c r="N33" s="21">
        <f>COUNTIF(G33:L33,"&gt;=3")</f>
        <v/>
      </c>
      <c r="O33" s="22">
        <f>IF(M33=0,"",N33/M33)</f>
        <v/>
      </c>
      <c r="P33" s="23">
        <f>IF(M33=0,"",COMBIN(M33,N33)*0.5^M33)</f>
        <v/>
      </c>
      <c r="Q33" s="22">
        <f>IF(M33=0,"",(O33-P33)/(1-P33))</f>
        <v/>
      </c>
      <c r="R33" s="21">
        <f>IF(Q33="","",IF(Q33&gt;0.74,"Excelente",IF(Q33&gt;=0.6,"Bueno",IF(Q33&gt;=0.4,"Regular","Revisar"))))</f>
        <v/>
      </c>
      <c r="S33" s="24" t="n"/>
      <c r="T33" s="24" t="n"/>
    </row>
    <row r="34">
      <c r="A34" s="19" t="inlineStr">
        <is>
          <t>D-09</t>
        </is>
      </c>
      <c r="B34" s="19" t="inlineStr">
        <is>
          <t>D</t>
        </is>
      </c>
      <c r="C34" s="19" t="inlineStr">
        <is>
          <t>Alimentación e hidratación</t>
        </is>
      </c>
      <c r="D34" s="19" t="inlineStr">
        <is>
          <t>N1 · Proteínas en la alimentación</t>
        </is>
      </c>
      <c r="E34" s="19" t="inlineStr">
        <is>
          <t>La persona come muy poco y está bajando de peso. ¿Qué hace?</t>
        </is>
      </c>
      <c r="F34" s="19" t="inlineStr">
        <is>
          <t>Avisar al equipo de salud: pueden indicar suplementos</t>
        </is>
      </c>
      <c r="G34" s="20" t="n"/>
      <c r="H34" s="20" t="n"/>
      <c r="I34" s="20" t="n"/>
      <c r="J34" s="20" t="n"/>
      <c r="K34" s="20" t="n"/>
      <c r="L34" s="20" t="n"/>
      <c r="M34" s="21">
        <f>COUNT(G34:L34)</f>
        <v/>
      </c>
      <c r="N34" s="21">
        <f>COUNTIF(G34:L34,"&gt;=3")</f>
        <v/>
      </c>
      <c r="O34" s="22">
        <f>IF(M34=0,"",N34/M34)</f>
        <v/>
      </c>
      <c r="P34" s="23">
        <f>IF(M34=0,"",COMBIN(M34,N34)*0.5^M34)</f>
        <v/>
      </c>
      <c r="Q34" s="22">
        <f>IF(M34=0,"",(O34-P34)/(1-P34))</f>
        <v/>
      </c>
      <c r="R34" s="21">
        <f>IF(Q34="","",IF(Q34&gt;0.74,"Excelente",IF(Q34&gt;=0.6,"Bueno",IF(Q34&gt;=0.4,"Regular","Revisar"))))</f>
        <v/>
      </c>
      <c r="S34" s="24" t="n"/>
      <c r="T34" s="24" t="n"/>
    </row>
    <row r="35">
      <c r="A35" s="19" t="inlineStr">
        <is>
          <t>D-10</t>
        </is>
      </c>
      <c r="B35" s="19" t="inlineStr">
        <is>
          <t>D</t>
        </is>
      </c>
      <c r="C35" s="19" t="inlineStr">
        <is>
          <t>Cuidado de la piel</t>
        </is>
      </c>
      <c r="D35" s="19" t="inlineStr">
        <is>
          <t>S2 · Cuidar la piel sin dañarla</t>
        </is>
      </c>
      <c r="E35" s="19" t="inlineStr">
        <is>
          <t>Los ácidos grasos hiperoxigenados (AGHO), ¿reemplazan los cambios de posición?</t>
        </is>
      </c>
      <c r="F35" s="19" t="inlineStr">
        <is>
          <t>No: pueden ayudar, pero nunca los reemplazan</t>
        </is>
      </c>
      <c r="G35" s="20" t="n"/>
      <c r="H35" s="20" t="n"/>
      <c r="I35" s="20" t="n"/>
      <c r="J35" s="20" t="n"/>
      <c r="K35" s="20" t="n"/>
      <c r="L35" s="20" t="n"/>
      <c r="M35" s="21">
        <f>COUNT(G35:L35)</f>
        <v/>
      </c>
      <c r="N35" s="21">
        <f>COUNTIF(G35:L35,"&gt;=3")</f>
        <v/>
      </c>
      <c r="O35" s="22">
        <f>IF(M35=0,"",N35/M35)</f>
        <v/>
      </c>
      <c r="P35" s="23">
        <f>IF(M35=0,"",COMBIN(M35,N35)*0.5^M35)</f>
        <v/>
      </c>
      <c r="Q35" s="22">
        <f>IF(M35=0,"",(O35-P35)/(1-P35))</f>
        <v/>
      </c>
      <c r="R35" s="21">
        <f>IF(Q35="","",IF(Q35&gt;0.74,"Excelente",IF(Q35&gt;=0.6,"Bueno",IF(Q35&gt;=0.4,"Regular","Revisar"))))</f>
        <v/>
      </c>
      <c r="S35" s="24" t="n"/>
      <c r="T35" s="24" t="n"/>
    </row>
    <row r="36">
      <c r="A36" s="19" t="inlineStr">
        <is>
          <t>D-11</t>
        </is>
      </c>
      <c r="B36" s="19" t="inlineStr">
        <is>
          <t>D</t>
        </is>
      </c>
      <c r="C36" s="19" t="inlineStr">
        <is>
          <t>Cuidado de la piel</t>
        </is>
      </c>
      <c r="D36" s="19" t="inlineStr">
        <is>
          <t>S1 · Manejo de la humedad y crema barrera</t>
        </is>
      </c>
      <c r="E36" s="19" t="inlineStr">
        <is>
          <t>Al secar la piel después del baño…</t>
        </is>
      </c>
      <c r="F36" s="19" t="inlineStr">
        <is>
          <t>Se seca con toquecitos, sobre todo en los pliegues</t>
        </is>
      </c>
      <c r="G36" s="20" t="n"/>
      <c r="H36" s="20" t="n"/>
      <c r="I36" s="20" t="n"/>
      <c r="J36" s="20" t="n"/>
      <c r="K36" s="20" t="n"/>
      <c r="L36" s="20" t="n"/>
      <c r="M36" s="21">
        <f>COUNT(G36:L36)</f>
        <v/>
      </c>
      <c r="N36" s="21">
        <f>COUNTIF(G36:L36,"&gt;=3")</f>
        <v/>
      </c>
      <c r="O36" s="22">
        <f>IF(M36=0,"",N36/M36)</f>
        <v/>
      </c>
      <c r="P36" s="23">
        <f>IF(M36=0,"",COMBIN(M36,N36)*0.5^M36)</f>
        <v/>
      </c>
      <c r="Q36" s="22">
        <f>IF(M36=0,"",(O36-P36)/(1-P36))</f>
        <v/>
      </c>
      <c r="R36" s="21">
        <f>IF(Q36="","",IF(Q36&gt;0.74,"Excelente",IF(Q36&gt;=0.6,"Bueno",IF(Q36&gt;=0.4,"Regular","Revisar"))))</f>
        <v/>
      </c>
      <c r="S36" s="24" t="n"/>
      <c r="T36" s="24" t="n"/>
    </row>
    <row r="37">
      <c r="A37" s="19" t="inlineStr">
        <is>
          <t>D-12</t>
        </is>
      </c>
      <c r="B37" s="19" t="inlineStr">
        <is>
          <t>D</t>
        </is>
      </c>
      <c r="C37" s="19" t="inlineStr">
        <is>
          <t>Revisión de la piel</t>
        </is>
      </c>
      <c r="D37" s="19" t="inlineStr">
        <is>
          <t>R2 · Interpretación de la prueba del dedo</t>
        </is>
      </c>
      <c r="E37" s="19" t="inlineStr">
        <is>
          <t>Una zona roja sí se pone blanca al presionar. ¿Qué hace?</t>
        </is>
      </c>
      <c r="F37" s="19" t="inlineStr">
        <is>
          <t>Quita el apoyo de esa zona y la revisa en unas horas</t>
        </is>
      </c>
      <c r="G37" s="20" t="n"/>
      <c r="H37" s="20" t="n"/>
      <c r="I37" s="20" t="n"/>
      <c r="J37" s="20" t="n"/>
      <c r="K37" s="20" t="n"/>
      <c r="L37" s="20" t="n"/>
      <c r="M37" s="21">
        <f>COUNT(G37:L37)</f>
        <v/>
      </c>
      <c r="N37" s="21">
        <f>COUNTIF(G37:L37,"&gt;=3")</f>
        <v/>
      </c>
      <c r="O37" s="22">
        <f>IF(M37=0,"",N37/M37)</f>
        <v/>
      </c>
      <c r="P37" s="23">
        <f>IF(M37=0,"",COMBIN(M37,N37)*0.5^M37)</f>
        <v/>
      </c>
      <c r="Q37" s="22">
        <f>IF(M37=0,"",(O37-P37)/(1-P37))</f>
        <v/>
      </c>
      <c r="R37" s="21">
        <f>IF(Q37="","",IF(Q37&gt;0.74,"Excelente",IF(Q37&gt;=0.6,"Bueno",IF(Q37&gt;=0.4,"Regular","Revisar"))))</f>
        <v/>
      </c>
      <c r="S37" s="24" t="n"/>
      <c r="T37" s="24" t="n"/>
    </row>
    <row r="38">
      <c r="A38" s="19" t="inlineStr">
        <is>
          <t>D-13</t>
        </is>
      </c>
      <c r="B38" s="19" t="inlineStr">
        <is>
          <t>D</t>
        </is>
      </c>
      <c r="C38" s="19" t="inlineStr">
        <is>
          <t>Revisión de la piel</t>
        </is>
      </c>
      <c r="D38" s="19" t="inlineStr">
        <is>
          <t>R2 · Interpretación de la prueba del dedo</t>
        </is>
      </c>
      <c r="E38" s="19" t="inlineStr">
        <is>
          <t>¿Puede una lesión por presión empezar por dentro, con la piel todavía entera?</t>
        </is>
      </c>
      <c r="F38" s="19" t="inlineStr">
        <is>
          <t>Sí: el daño puede empezar cerca del hueso</t>
        </is>
      </c>
      <c r="G38" s="20" t="n"/>
      <c r="H38" s="20" t="n"/>
      <c r="I38" s="20" t="n"/>
      <c r="J38" s="20" t="n"/>
      <c r="K38" s="20" t="n"/>
      <c r="L38" s="20" t="n"/>
      <c r="M38" s="21">
        <f>COUNT(G38:L38)</f>
        <v/>
      </c>
      <c r="N38" s="21">
        <f>COUNTIF(G38:L38,"&gt;=3")</f>
        <v/>
      </c>
      <c r="O38" s="22">
        <f>IF(M38=0,"",N38/M38)</f>
        <v/>
      </c>
      <c r="P38" s="23">
        <f>IF(M38=0,"",COMBIN(M38,N38)*0.5^M38)</f>
        <v/>
      </c>
      <c r="Q38" s="22">
        <f>IF(M38=0,"",(O38-P38)/(1-P38))</f>
        <v/>
      </c>
      <c r="R38" s="21">
        <f>IF(Q38="","",IF(Q38&gt;0.74,"Excelente",IF(Q38&gt;=0.6,"Bueno",IF(Q38&gt;=0.4,"Regular","Revisar"))))</f>
        <v/>
      </c>
      <c r="S38" s="24" t="n"/>
      <c r="T38" s="24" t="n"/>
    </row>
    <row r="39">
      <c r="A39" s="19" t="inlineStr">
        <is>
          <t>D-14</t>
        </is>
      </c>
      <c r="B39" s="19" t="inlineStr">
        <is>
          <t>D</t>
        </is>
      </c>
      <c r="C39" s="19" t="inlineStr">
        <is>
          <t>Cambios de posición</t>
        </is>
      </c>
      <c r="D39" s="19" t="inlineStr">
        <is>
          <t>P2 · Talones sin apoyo (flotando)</t>
        </is>
      </c>
      <c r="E39" s="19" t="inlineStr">
        <is>
          <t>¿Quién define cada cuánto cambiar de posición?</t>
        </is>
      </c>
      <c r="F39" s="19" t="inlineStr">
        <is>
          <t>Su equipo de salud, según su riesgo y su colchón (habitualmente cada 2 a 4 horas)</t>
        </is>
      </c>
      <c r="G39" s="20" t="n"/>
      <c r="H39" s="20" t="n"/>
      <c r="I39" s="20" t="n"/>
      <c r="J39" s="20" t="n"/>
      <c r="K39" s="20" t="n"/>
      <c r="L39" s="20" t="n"/>
      <c r="M39" s="21">
        <f>COUNT(G39:L39)</f>
        <v/>
      </c>
      <c r="N39" s="21">
        <f>COUNTIF(G39:L39,"&gt;=3")</f>
        <v/>
      </c>
      <c r="O39" s="22">
        <f>IF(M39=0,"",N39/M39)</f>
        <v/>
      </c>
      <c r="P39" s="23">
        <f>IF(M39=0,"",COMBIN(M39,N39)*0.5^M39)</f>
        <v/>
      </c>
      <c r="Q39" s="22">
        <f>IF(M39=0,"",(O39-P39)/(1-P39))</f>
        <v/>
      </c>
      <c r="R39" s="21">
        <f>IF(Q39="","",IF(Q39&gt;0.74,"Excelente",IF(Q39&gt;=0.6,"Bueno",IF(Q39&gt;=0.4,"Regular","Revisar"))))</f>
        <v/>
      </c>
      <c r="S39" s="24" t="n"/>
      <c r="T39" s="24" t="n"/>
    </row>
    <row r="40">
      <c r="A40" s="19" t="inlineStr">
        <is>
          <t>D-15</t>
        </is>
      </c>
      <c r="B40" s="19" t="inlineStr">
        <is>
          <t>D</t>
        </is>
      </c>
      <c r="C40" s="19" t="inlineStr">
        <is>
          <t>Cambios de posición</t>
        </is>
      </c>
      <c r="D40" s="19" t="inlineStr">
        <is>
          <t>P1 · Inclinación lateral de 30° con apoyo</t>
        </is>
      </c>
      <c r="E40" s="19" t="inlineStr">
        <is>
          <t>¿Por qué no conviene acostar a la persona completamente de lado (90°)?</t>
        </is>
      </c>
      <c r="F40" s="19" t="inlineStr">
        <is>
          <t>Porque todo el peso cae sobre el hueso de la cadera</t>
        </is>
      </c>
      <c r="G40" s="20" t="n"/>
      <c r="H40" s="20" t="n"/>
      <c r="I40" s="20" t="n"/>
      <c r="J40" s="20" t="n"/>
      <c r="K40" s="20" t="n"/>
      <c r="L40" s="20" t="n"/>
      <c r="M40" s="21">
        <f>COUNT(G40:L40)</f>
        <v/>
      </c>
      <c r="N40" s="21">
        <f>COUNTIF(G40:L40,"&gt;=3")</f>
        <v/>
      </c>
      <c r="O40" s="22">
        <f>IF(M40=0,"",N40/M40)</f>
        <v/>
      </c>
      <c r="P40" s="23">
        <f>IF(M40=0,"",COMBIN(M40,N40)*0.5^M40)</f>
        <v/>
      </c>
      <c r="Q40" s="22">
        <f>IF(M40=0,"",(O40-P40)/(1-P40))</f>
        <v/>
      </c>
      <c r="R40" s="21">
        <f>IF(Q40="","",IF(Q40&gt;0.74,"Excelente",IF(Q40&gt;=0.6,"Bueno",IF(Q40&gt;=0.4,"Regular","Revisar"))))</f>
        <v/>
      </c>
      <c r="S40" s="24" t="n"/>
      <c r="T40" s="24" t="n"/>
    </row>
    <row r="41">
      <c r="A41" s="19" t="inlineStr">
        <is>
          <t>D-16</t>
        </is>
      </c>
      <c r="B41" s="19" t="inlineStr">
        <is>
          <t>D</t>
        </is>
      </c>
      <c r="C41" s="19" t="inlineStr">
        <is>
          <t>Señales de alarma</t>
        </is>
      </c>
      <c r="D41" s="19" t="inlineStr">
        <is>
          <t>A1 · Cuándo consultar hoy</t>
        </is>
      </c>
      <c r="E41" s="19" t="inlineStr">
        <is>
          <t>Una zona está dura, caliente y dolorosa, aunque la piel siga entera. ¿Qué hace?</t>
        </is>
      </c>
      <c r="F41" s="19" t="inlineStr">
        <is>
          <t>Consulta hoy a su equipo de salud</t>
        </is>
      </c>
      <c r="G41" s="20" t="n"/>
      <c r="H41" s="20" t="n"/>
      <c r="I41" s="20" t="n"/>
      <c r="J41" s="20" t="n"/>
      <c r="K41" s="20" t="n"/>
      <c r="L41" s="20" t="n"/>
      <c r="M41" s="21">
        <f>COUNT(G41:L41)</f>
        <v/>
      </c>
      <c r="N41" s="21">
        <f>COUNTIF(G41:L41,"&gt;=3")</f>
        <v/>
      </c>
      <c r="O41" s="22">
        <f>IF(M41=0,"",N41/M41)</f>
        <v/>
      </c>
      <c r="P41" s="23">
        <f>IF(M41=0,"",COMBIN(M41,N41)*0.5^M41)</f>
        <v/>
      </c>
      <c r="Q41" s="22">
        <f>IF(M41=0,"",(O41-P41)/(1-P41))</f>
        <v/>
      </c>
      <c r="R41" s="21">
        <f>IF(Q41="","",IF(Q41&gt;0.74,"Excelente",IF(Q41&gt;=0.6,"Bueno",IF(Q41&gt;=0.4,"Regular","Revisar"))))</f>
        <v/>
      </c>
      <c r="S41" s="24" t="n"/>
      <c r="T41" s="24" t="n"/>
    </row>
    <row r="42">
      <c r="A42" s="19" t="inlineStr">
        <is>
          <t>D-17</t>
        </is>
      </c>
      <c r="B42" s="19" t="inlineStr">
        <is>
          <t>D</t>
        </is>
      </c>
      <c r="C42" s="19" t="inlineStr">
        <is>
          <t>Colchón, cojín y apoyos</t>
        </is>
      </c>
      <c r="D42" s="19" t="inlineStr">
        <is>
          <t>U2 · La superficie no reemplaza los cambios de posición</t>
        </is>
      </c>
      <c r="E42" s="19" t="inlineStr">
        <is>
          <t>Si la persona puede moverse sola, ¿qué conviene?</t>
        </is>
      </c>
      <c r="F42" s="19" t="inlineStr">
        <is>
          <t>Animarla a moverse por sí misma todo lo que pueda</t>
        </is>
      </c>
      <c r="G42" s="20" t="n"/>
      <c r="H42" s="20" t="n"/>
      <c r="I42" s="20" t="n"/>
      <c r="J42" s="20" t="n"/>
      <c r="K42" s="20" t="n"/>
      <c r="L42" s="20" t="n"/>
      <c r="M42" s="21">
        <f>COUNT(G42:L42)</f>
        <v/>
      </c>
      <c r="N42" s="21">
        <f>COUNTIF(G42:L42,"&gt;=3")</f>
        <v/>
      </c>
      <c r="O42" s="22">
        <f>IF(M42=0,"",N42/M42)</f>
        <v/>
      </c>
      <c r="P42" s="23">
        <f>IF(M42=0,"",COMBIN(M42,N42)*0.5^M42)</f>
        <v/>
      </c>
      <c r="Q42" s="22">
        <f>IF(M42=0,"",(O42-P42)/(1-P42))</f>
        <v/>
      </c>
      <c r="R42" s="21">
        <f>IF(Q42="","",IF(Q42&gt;0.74,"Excelente",IF(Q42&gt;=0.6,"Bueno",IF(Q42&gt;=0.4,"Regular","Revisar"))))</f>
        <v/>
      </c>
      <c r="S42" s="24" t="n"/>
      <c r="T42" s="24" t="n"/>
    </row>
    <row r="43">
      <c r="A43" s="19" t="inlineStr">
        <is>
          <t>D-18</t>
        </is>
      </c>
      <c r="B43" s="19" t="inlineStr">
        <is>
          <t>D</t>
        </is>
      </c>
      <c r="C43" s="19" t="inlineStr">
        <is>
          <t>Cuidado de la piel</t>
        </is>
      </c>
      <c r="D43" s="19" t="inlineStr">
        <is>
          <t>S1 · Manejo de la humedad y crema barrera</t>
        </is>
      </c>
      <c r="E43" s="19" t="inlineStr">
        <is>
          <t>Si hay incontinencia, ¿qué protege la piel?</t>
        </is>
      </c>
      <c r="F43" s="19" t="inlineStr">
        <is>
          <t>Una crema barrera después de cada limpieza</t>
        </is>
      </c>
      <c r="G43" s="20" t="n"/>
      <c r="H43" s="20" t="n"/>
      <c r="I43" s="20" t="n"/>
      <c r="J43" s="20" t="n"/>
      <c r="K43" s="20" t="n"/>
      <c r="L43" s="20" t="n"/>
      <c r="M43" s="21">
        <f>COUNT(G43:L43)</f>
        <v/>
      </c>
      <c r="N43" s="21">
        <f>COUNTIF(G43:L43,"&gt;=3")</f>
        <v/>
      </c>
      <c r="O43" s="22">
        <f>IF(M43=0,"",N43/M43)</f>
        <v/>
      </c>
      <c r="P43" s="23">
        <f>IF(M43=0,"",COMBIN(M43,N43)*0.5^M43)</f>
        <v/>
      </c>
      <c r="Q43" s="22">
        <f>IF(M43=0,"",(O43-P43)/(1-P43))</f>
        <v/>
      </c>
      <c r="R43" s="21">
        <f>IF(Q43="","",IF(Q43&gt;0.74,"Excelente",IF(Q43&gt;=0.6,"Bueno",IF(Q43&gt;=0.4,"Regular","Revisar"))))</f>
        <v/>
      </c>
      <c r="S43" s="24" t="n"/>
      <c r="T43" s="24" t="n"/>
    </row>
  </sheetData>
  <dataValidations count="2">
    <dataValidation sqref="G2:L43" showDropDown="0" showInputMessage="0" showErrorMessage="0" allowBlank="1" errorTitle="Valor no válido" error="Use un número entero de 1 a 4." type="whole" operator="between">
      <formula1>1</formula1>
      <formula2>4</formula2>
    </dataValidation>
    <dataValidation sqref="S2:S43" showDropDown="0" showInputMessage="0" showErrorMessage="0" allowBlank="1" type="list">
      <formula1>"Mantener,Modificar,Eliminar"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46" customWidth="1" min="3" max="3"/>
    <col width="5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9" customWidth="1" min="12" max="12"/>
    <col width="10" customWidth="1" min="13" max="13"/>
    <col width="40" customWidth="1" min="14" max="14"/>
  </cols>
  <sheetData>
    <row r="1" ht="36" customHeight="1">
      <c r="A1" s="10" t="inlineStr">
        <is>
          <t>ID</t>
        </is>
      </c>
      <c r="B1" s="10" t="inlineStr">
        <is>
          <t>Forma</t>
        </is>
      </c>
      <c r="C1" s="10" t="inlineStr">
        <is>
          <t>Enunciado</t>
        </is>
      </c>
      <c r="D1" s="10" t="inlineStr">
        <is>
          <t>Alternativas</t>
        </is>
      </c>
      <c r="E1" s="10" t="inlineStr">
        <is>
          <t>E1</t>
        </is>
      </c>
      <c r="F1" s="10" t="inlineStr">
        <is>
          <t>E2</t>
        </is>
      </c>
      <c r="G1" s="10" t="inlineStr">
        <is>
          <t>E3</t>
        </is>
      </c>
      <c r="H1" s="10" t="inlineStr">
        <is>
          <t>E4</t>
        </is>
      </c>
      <c r="I1" s="10" t="inlineStr">
        <is>
          <t>E5</t>
        </is>
      </c>
      <c r="J1" s="10" t="inlineStr">
        <is>
          <t>E6</t>
        </is>
      </c>
      <c r="K1" s="10" t="inlineStr">
        <is>
          <t>N expertos</t>
        </is>
      </c>
      <c r="L1" s="10" t="inlineStr">
        <is>
          <t>Claro (3 o 4)</t>
        </is>
      </c>
      <c r="M1" s="10" t="inlineStr">
        <is>
          <t>Índice de claridad</t>
        </is>
      </c>
      <c r="N1" s="10" t="inlineStr">
        <is>
          <t>Sugerencias de redacción</t>
        </is>
      </c>
    </row>
    <row r="2">
      <c r="A2" s="19" t="inlineStr">
        <is>
          <t>A-P1</t>
        </is>
      </c>
      <c r="B2" s="19" t="inlineStr">
        <is>
          <t>A</t>
        </is>
      </c>
      <c r="C2" s="19" t="inlineStr">
        <is>
          <t>Cuando la persona queda acostada de lado, ¿cómo debe quedar?</t>
        </is>
      </c>
      <c r="D2" s="19" t="inlineStr">
        <is>
          <t>A) Completamente de lado, en ángulo recto (90°) / B) Apenas inclinada, unos 30°, con una almohada en la espalda / C) Boca abajo, para descansar la espalda</t>
        </is>
      </c>
      <c r="E2" s="20" t="n"/>
      <c r="F2" s="20" t="n"/>
      <c r="G2" s="20" t="n"/>
      <c r="H2" s="20" t="n"/>
      <c r="I2" s="20" t="n"/>
      <c r="J2" s="20" t="n"/>
      <c r="K2" s="21">
        <f>COUNT(E2:J2)</f>
        <v/>
      </c>
      <c r="L2" s="21">
        <f>COUNTIF(E2:J2,"&gt;=3")</f>
        <v/>
      </c>
      <c r="M2" s="22">
        <f>IF(K2=0,"",L2/K2)</f>
        <v/>
      </c>
      <c r="N2" s="25" t="n"/>
    </row>
    <row r="3">
      <c r="A3" s="19" t="inlineStr">
        <is>
          <t>A-P2</t>
        </is>
      </c>
      <c r="B3" s="19" t="inlineStr">
        <is>
          <t>A</t>
        </is>
      </c>
      <c r="C3" s="19" t="inlineStr">
        <is>
          <t>¿Dónde va la almohada para que los talones no se apoyen en el colchón?</t>
        </is>
      </c>
      <c r="D3" s="19" t="inlineStr">
        <is>
          <t>A) Debajo de las pantorrillas, con los talones en el aire / B) Debajo de los talones / C) No hace falta una almohada</t>
        </is>
      </c>
      <c r="E3" s="20" t="n"/>
      <c r="F3" s="20" t="n"/>
      <c r="G3" s="20" t="n"/>
      <c r="H3" s="20" t="n"/>
      <c r="I3" s="20" t="n"/>
      <c r="J3" s="20" t="n"/>
      <c r="K3" s="21">
        <f>COUNT(E3:J3)</f>
        <v/>
      </c>
      <c r="L3" s="21">
        <f>COUNTIF(E3:J3,"&gt;=3")</f>
        <v/>
      </c>
      <c r="M3" s="22">
        <f>IF(K3=0,"",L3/K3)</f>
        <v/>
      </c>
      <c r="N3" s="25" t="n"/>
    </row>
    <row r="4">
      <c r="A4" s="19" t="inlineStr">
        <is>
          <t>A-S1</t>
        </is>
      </c>
      <c r="B4" s="19" t="inlineStr">
        <is>
          <t>A</t>
        </is>
      </c>
      <c r="C4" s="19" t="inlineStr">
        <is>
          <t>Después de cambiar un pañal mojado, ¿qué corresponde hacer?</t>
        </is>
      </c>
      <c r="D4" s="19" t="inlineStr">
        <is>
          <t>A) Frotar con alcohol para desinfectar / B) Echar talco en abundancia / C) Limpiar con suavidad, secar con toquecitos y aplicar crema barrera</t>
        </is>
      </c>
      <c r="E4" s="20" t="n"/>
      <c r="F4" s="20" t="n"/>
      <c r="G4" s="20" t="n"/>
      <c r="H4" s="20" t="n"/>
      <c r="I4" s="20" t="n"/>
      <c r="J4" s="20" t="n"/>
      <c r="K4" s="21">
        <f>COUNT(E4:J4)</f>
        <v/>
      </c>
      <c r="L4" s="21">
        <f>COUNTIF(E4:J4,"&gt;=3")</f>
        <v/>
      </c>
      <c r="M4" s="22">
        <f>IF(K4=0,"",L4/K4)</f>
        <v/>
      </c>
      <c r="N4" s="25" t="n"/>
    </row>
    <row r="5">
      <c r="A5" s="19" t="inlineStr">
        <is>
          <t>A-S2</t>
        </is>
      </c>
      <c r="B5" s="19" t="inlineStr">
        <is>
          <t>A</t>
        </is>
      </c>
      <c r="C5" s="19" t="inlineStr">
        <is>
          <t>Ve una zona enrojecida en la parte baja de la espalda. ¿Qué es lo correcto?</t>
        </is>
      </c>
      <c r="D5" s="19" t="inlineStr">
        <is>
          <t>A) Masajearla para activar la circulación / B) Quitarle el apoyo y vigilarla / C) Frotarla con colonia</t>
        </is>
      </c>
      <c r="E5" s="20" t="n"/>
      <c r="F5" s="20" t="n"/>
      <c r="G5" s="20" t="n"/>
      <c r="H5" s="20" t="n"/>
      <c r="I5" s="20" t="n"/>
      <c r="J5" s="20" t="n"/>
      <c r="K5" s="21">
        <f>COUNT(E5:J5)</f>
        <v/>
      </c>
      <c r="L5" s="21">
        <f>COUNTIF(E5:J5,"&gt;=3")</f>
        <v/>
      </c>
      <c r="M5" s="22">
        <f>IF(K5=0,"",L5/K5)</f>
        <v/>
      </c>
      <c r="N5" s="25" t="n"/>
    </row>
    <row r="6">
      <c r="A6" s="19" t="inlineStr">
        <is>
          <t>A-R1</t>
        </is>
      </c>
      <c r="B6" s="19" t="inlineStr">
        <is>
          <t>A</t>
        </is>
      </c>
      <c r="C6" s="19" t="inlineStr">
        <is>
          <t>¿Cada cuánto conviene revisar la piel?</t>
        </is>
      </c>
      <c r="D6" s="19" t="inlineStr">
        <is>
          <t>A) Todos los días, con buena luz / B) Una vez por semana / C) Solo cuando la persona se queja</t>
        </is>
      </c>
      <c r="E6" s="20" t="n"/>
      <c r="F6" s="20" t="n"/>
      <c r="G6" s="20" t="n"/>
      <c r="H6" s="20" t="n"/>
      <c r="I6" s="20" t="n"/>
      <c r="J6" s="20" t="n"/>
      <c r="K6" s="21">
        <f>COUNT(E6:J6)</f>
        <v/>
      </c>
      <c r="L6" s="21">
        <f>COUNTIF(E6:J6,"&gt;=3")</f>
        <v/>
      </c>
      <c r="M6" s="22">
        <f>IF(K6=0,"",L6/K6)</f>
        <v/>
      </c>
      <c r="N6" s="25" t="n"/>
    </row>
    <row r="7">
      <c r="A7" s="19" t="inlineStr">
        <is>
          <t>A-R2</t>
        </is>
      </c>
      <c r="B7" s="19" t="inlineStr">
        <is>
          <t>A</t>
        </is>
      </c>
      <c r="C7" s="19" t="inlineStr">
        <is>
          <t>Presiona con el dedo una zona roja y NO se pone blanca. ¿Qué significa?</t>
        </is>
      </c>
      <c r="D7" s="19" t="inlineStr">
        <is>
          <t>A) Que la piel está sana / B) Que necesita un masaje / C) Que puede ser una lesión por presión inicial: hay que quitar el apoyo y avisar</t>
        </is>
      </c>
      <c r="E7" s="20" t="n"/>
      <c r="F7" s="20" t="n"/>
      <c r="G7" s="20" t="n"/>
      <c r="H7" s="20" t="n"/>
      <c r="I7" s="20" t="n"/>
      <c r="J7" s="20" t="n"/>
      <c r="K7" s="21">
        <f>COUNT(E7:J7)</f>
        <v/>
      </c>
      <c r="L7" s="21">
        <f>COUNTIF(E7:J7,"&gt;=3")</f>
        <v/>
      </c>
      <c r="M7" s="22">
        <f>IF(K7=0,"",L7/K7)</f>
        <v/>
      </c>
      <c r="N7" s="25" t="n"/>
    </row>
    <row r="8">
      <c r="A8" s="19" t="inlineStr">
        <is>
          <t>A-U1</t>
        </is>
      </c>
      <c r="B8" s="19" t="inlineStr">
        <is>
          <t>A</t>
        </is>
      </c>
      <c r="C8" s="19" t="inlineStr">
        <is>
          <t>¿Qué cojín es adecuado para estar sentado en el sillón?</t>
        </is>
      </c>
      <c r="D8" s="19" t="inlineStr">
        <is>
          <t>A) Un cojín con forma de rosca, con hoyo al centro / B) Un cojín antiescaras indicado por su equipo de salud / C) Ninguno: es mejor una superficie dura</t>
        </is>
      </c>
      <c r="E8" s="20" t="n"/>
      <c r="F8" s="20" t="n"/>
      <c r="G8" s="20" t="n"/>
      <c r="H8" s="20" t="n"/>
      <c r="I8" s="20" t="n"/>
      <c r="J8" s="20" t="n"/>
      <c r="K8" s="21">
        <f>COUNT(E8:J8)</f>
        <v/>
      </c>
      <c r="L8" s="21">
        <f>COUNTIF(E8:J8,"&gt;=3")</f>
        <v/>
      </c>
      <c r="M8" s="22">
        <f>IF(K8=0,"",L8/K8)</f>
        <v/>
      </c>
      <c r="N8" s="25" t="n"/>
    </row>
    <row r="9">
      <c r="A9" s="19" t="inlineStr">
        <is>
          <t>A-U2</t>
        </is>
      </c>
      <c r="B9" s="19" t="inlineStr">
        <is>
          <t>A</t>
        </is>
      </c>
      <c r="C9" s="19" t="inlineStr">
        <is>
          <t>Si la persona tiene un colchón antiescaras…</t>
        </is>
      </c>
      <c r="D9" s="19" t="inlineStr">
        <is>
          <t>A) Igual necesita cambios de posición regulares / B) Ya no necesita cambiar de posición / C) Debe pasar el día sentada</t>
        </is>
      </c>
      <c r="E9" s="20" t="n"/>
      <c r="F9" s="20" t="n"/>
      <c r="G9" s="20" t="n"/>
      <c r="H9" s="20" t="n"/>
      <c r="I9" s="20" t="n"/>
      <c r="J9" s="20" t="n"/>
      <c r="K9" s="21">
        <f>COUNT(E9:J9)</f>
        <v/>
      </c>
      <c r="L9" s="21">
        <f>COUNTIF(E9:J9,"&gt;=3")</f>
        <v/>
      </c>
      <c r="M9" s="22">
        <f>IF(K9=0,"",L9/K9)</f>
        <v/>
      </c>
      <c r="N9" s="25" t="n"/>
    </row>
    <row r="10">
      <c r="A10" s="19" t="inlineStr">
        <is>
          <t>A-N1</t>
        </is>
      </c>
      <c r="B10" s="19" t="inlineStr">
        <is>
          <t>A</t>
        </is>
      </c>
      <c r="C10" s="19" t="inlineStr">
        <is>
          <t>¿Qué alimentos ayudan más a que la piel se mantenga firme y se repare?</t>
        </is>
      </c>
      <c r="D10" s="19" t="inlineStr">
        <is>
          <t>A) Bebidas azucaradas / B) Pan y galletas solamente / C) Huevo, leche, legumbres, pescado o carne</t>
        </is>
      </c>
      <c r="E10" s="20" t="n"/>
      <c r="F10" s="20" t="n"/>
      <c r="G10" s="20" t="n"/>
      <c r="H10" s="20" t="n"/>
      <c r="I10" s="20" t="n"/>
      <c r="J10" s="20" t="n"/>
      <c r="K10" s="21">
        <f>COUNT(E10:J10)</f>
        <v/>
      </c>
      <c r="L10" s="21">
        <f>COUNTIF(E10:J10,"&gt;=3")</f>
        <v/>
      </c>
      <c r="M10" s="22">
        <f>IF(K10=0,"",L10/K10)</f>
        <v/>
      </c>
      <c r="N10" s="25" t="n"/>
    </row>
    <row r="11">
      <c r="A11" s="19" t="inlineStr">
        <is>
          <t>A-N2</t>
        </is>
      </c>
      <c r="B11" s="19" t="inlineStr">
        <is>
          <t>A</t>
        </is>
      </c>
      <c r="C11" s="19" t="inlineStr">
        <is>
          <t>Si el médico no ha indicado limitar líquidos, ¿cuánta agua conviene al día?</t>
        </is>
      </c>
      <c r="D11" s="19" t="inlineStr">
        <is>
          <t>A) Unos 6 a 8 vasos, en sorbos durante el día / B) Un vaso al día / C) Lo menos posible, para no mojar el pañal</t>
        </is>
      </c>
      <c r="E11" s="20" t="n"/>
      <c r="F11" s="20" t="n"/>
      <c r="G11" s="20" t="n"/>
      <c r="H11" s="20" t="n"/>
      <c r="I11" s="20" t="n"/>
      <c r="J11" s="20" t="n"/>
      <c r="K11" s="21">
        <f>COUNT(E11:J11)</f>
        <v/>
      </c>
      <c r="L11" s="21">
        <f>COUNTIF(E11:J11,"&gt;=3")</f>
        <v/>
      </c>
      <c r="M11" s="22">
        <f>IF(K11=0,"",L11/K11)</f>
        <v/>
      </c>
      <c r="N11" s="25" t="n"/>
    </row>
    <row r="12">
      <c r="A12" s="19" t="inlineStr">
        <is>
          <t>A-A1</t>
        </is>
      </c>
      <c r="B12" s="19" t="inlineStr">
        <is>
          <t>A</t>
        </is>
      </c>
      <c r="C12" s="19" t="inlineStr">
        <is>
          <t>¿En cuál de estas situaciones hay que consultar hoy al equipo de salud?</t>
        </is>
      </c>
      <c r="D12" s="19" t="inlineStr">
        <is>
          <t>A) La piel está un poco seca / B) Aparece una ampolla o la piel se abre / C) Las sábanas quedaron arrugadas</t>
        </is>
      </c>
      <c r="E12" s="20" t="n"/>
      <c r="F12" s="20" t="n"/>
      <c r="G12" s="20" t="n"/>
      <c r="H12" s="20" t="n"/>
      <c r="I12" s="20" t="n"/>
      <c r="J12" s="20" t="n"/>
      <c r="K12" s="21">
        <f>COUNT(E12:J12)</f>
        <v/>
      </c>
      <c r="L12" s="21">
        <f>COUNTIF(E12:J12,"&gt;=3")</f>
        <v/>
      </c>
      <c r="M12" s="22">
        <f>IF(K12=0,"",L12/K12)</f>
        <v/>
      </c>
      <c r="N12" s="25" t="n"/>
    </row>
    <row r="13">
      <c r="A13" s="19" t="inlineStr">
        <is>
          <t>A-A2</t>
        </is>
      </c>
      <c r="B13" s="19" t="inlineStr">
        <is>
          <t>A</t>
        </is>
      </c>
      <c r="C13" s="19" t="inlineStr">
        <is>
          <t>La herida tiene mal olor y la persona tiene fiebre y está confundida. ¿Qué hace?</t>
        </is>
      </c>
      <c r="D13" s="19" t="inlineStr">
        <is>
          <t>A) Espera al próximo control / B) Le aplica crema y observa / C) Acude a un servicio de urgencia</t>
        </is>
      </c>
      <c r="E13" s="20" t="n"/>
      <c r="F13" s="20" t="n"/>
      <c r="G13" s="20" t="n"/>
      <c r="H13" s="20" t="n"/>
      <c r="I13" s="20" t="n"/>
      <c r="J13" s="20" t="n"/>
      <c r="K13" s="21">
        <f>COUNT(E13:J13)</f>
        <v/>
      </c>
      <c r="L13" s="21">
        <f>COUNTIF(E13:J13,"&gt;=3")</f>
        <v/>
      </c>
      <c r="M13" s="22">
        <f>IF(K13=0,"",L13/K13)</f>
        <v/>
      </c>
      <c r="N13" s="25" t="n"/>
    </row>
    <row r="14">
      <c r="A14" s="19" t="inlineStr">
        <is>
          <t>B-P1</t>
        </is>
      </c>
      <c r="B14" s="19" t="inlineStr">
        <is>
          <t>B</t>
        </is>
      </c>
      <c r="C14" s="19" t="inlineStr">
        <is>
          <t>Al girar a la persona hacia un costado, lo más seguro es…</t>
        </is>
      </c>
      <c r="D14" s="19" t="inlineStr">
        <is>
          <t>A) Girarla del todo para que descanse la espalda / B) Sentarla con la cabecera muy levantada / C) Dejarla levemente inclinada, unos 30°, apoyada con almohadas</t>
        </is>
      </c>
      <c r="E14" s="20" t="n"/>
      <c r="F14" s="20" t="n"/>
      <c r="G14" s="20" t="n"/>
      <c r="H14" s="20" t="n"/>
      <c r="I14" s="20" t="n"/>
      <c r="J14" s="20" t="n"/>
      <c r="K14" s="21">
        <f>COUNT(E14:J14)</f>
        <v/>
      </c>
      <c r="L14" s="21">
        <f>COUNTIF(E14:J14,"&gt;=3")</f>
        <v/>
      </c>
      <c r="M14" s="22">
        <f>IF(K14=0,"",L14/K14)</f>
        <v/>
      </c>
      <c r="N14" s="25" t="n"/>
    </row>
    <row r="15">
      <c r="A15" s="19" t="inlineStr">
        <is>
          <t>B-P2</t>
        </is>
      </c>
      <c r="B15" s="19" t="inlineStr">
        <is>
          <t>B</t>
        </is>
      </c>
      <c r="C15" s="19" t="inlineStr">
        <is>
          <t>En la mañana los talones están rojos. ¿Qué ayuda más?</t>
        </is>
      </c>
      <c r="D15" s="19" t="inlineStr">
        <is>
          <t>A) Dejarlos en el aire con una almohada bajo las pantorrillas / B) Masajearlos / C) Ponerles un guante con agua</t>
        </is>
      </c>
      <c r="E15" s="20" t="n"/>
      <c r="F15" s="20" t="n"/>
      <c r="G15" s="20" t="n"/>
      <c r="H15" s="20" t="n"/>
      <c r="I15" s="20" t="n"/>
      <c r="J15" s="20" t="n"/>
      <c r="K15" s="21">
        <f>COUNT(E15:J15)</f>
        <v/>
      </c>
      <c r="L15" s="21">
        <f>COUNTIF(E15:J15,"&gt;=3")</f>
        <v/>
      </c>
      <c r="M15" s="22">
        <f>IF(K15=0,"",L15/K15)</f>
        <v/>
      </c>
      <c r="N15" s="25" t="n"/>
    </row>
    <row r="16">
      <c r="A16" s="19" t="inlineStr">
        <is>
          <t>B-S1</t>
        </is>
      </c>
      <c r="B16" s="19" t="inlineStr">
        <is>
          <t>B</t>
        </is>
      </c>
      <c r="C16" s="19" t="inlineStr">
        <is>
          <t>La piel de la zona del pañal está húmeda e irritada. ¿Qué hace?</t>
        </is>
      </c>
      <c r="D16" s="19" t="inlineStr">
        <is>
          <t>A) Deja el pañal más tiempo para no molestar / B) Cambia el pañal seguido, limpia con suavidad y usa crema barrera / C) Aplica colonia para refrescar</t>
        </is>
      </c>
      <c r="E16" s="20" t="n"/>
      <c r="F16" s="20" t="n"/>
      <c r="G16" s="20" t="n"/>
      <c r="H16" s="20" t="n"/>
      <c r="I16" s="20" t="n"/>
      <c r="J16" s="20" t="n"/>
      <c r="K16" s="21">
        <f>COUNT(E16:J16)</f>
        <v/>
      </c>
      <c r="L16" s="21">
        <f>COUNTIF(E16:J16,"&gt;=3")</f>
        <v/>
      </c>
      <c r="M16" s="22">
        <f>IF(K16=0,"",L16/K16)</f>
        <v/>
      </c>
      <c r="N16" s="25" t="n"/>
    </row>
    <row r="17">
      <c r="A17" s="19" t="inlineStr">
        <is>
          <t>B-S2</t>
        </is>
      </c>
      <c r="B17" s="19" t="inlineStr">
        <is>
          <t>B</t>
        </is>
      </c>
      <c r="C17" s="19" t="inlineStr">
        <is>
          <t>¿Qué conviene usar para hidratar la piel seca?</t>
        </is>
      </c>
      <c r="D17" s="19" t="inlineStr">
        <is>
          <t>A) Colonia / B) Talco / C) Crema hidratante sin perfume</t>
        </is>
      </c>
      <c r="E17" s="20" t="n"/>
      <c r="F17" s="20" t="n"/>
      <c r="G17" s="20" t="n"/>
      <c r="H17" s="20" t="n"/>
      <c r="I17" s="20" t="n"/>
      <c r="J17" s="20" t="n"/>
      <c r="K17" s="21">
        <f>COUNT(E17:J17)</f>
        <v/>
      </c>
      <c r="L17" s="21">
        <f>COUNTIF(E17:J17,"&gt;=3")</f>
        <v/>
      </c>
      <c r="M17" s="22">
        <f>IF(K17=0,"",L17/K17)</f>
        <v/>
      </c>
      <c r="N17" s="25" t="n"/>
    </row>
    <row r="18">
      <c r="A18" s="19" t="inlineStr">
        <is>
          <t>B-R1</t>
        </is>
      </c>
      <c r="B18" s="19" t="inlineStr">
        <is>
          <t>B</t>
        </is>
      </c>
      <c r="C18" s="19" t="inlineStr">
        <is>
          <t>¿Cuál es el momento más práctico para revisar la piel cada día?</t>
        </is>
      </c>
      <c r="D18" s="19" t="inlineStr">
        <is>
          <t>A) Durante el aseo diario / B) Solo en los controles médicos / C) Cuando ya apareció una herida</t>
        </is>
      </c>
      <c r="E18" s="20" t="n"/>
      <c r="F18" s="20" t="n"/>
      <c r="G18" s="20" t="n"/>
      <c r="H18" s="20" t="n"/>
      <c r="I18" s="20" t="n"/>
      <c r="J18" s="20" t="n"/>
      <c r="K18" s="21">
        <f>COUNT(E18:J18)</f>
        <v/>
      </c>
      <c r="L18" s="21">
        <f>COUNTIF(E18:J18,"&gt;=3")</f>
        <v/>
      </c>
      <c r="M18" s="22">
        <f>IF(K18=0,"",L18/K18)</f>
        <v/>
      </c>
      <c r="N18" s="25" t="n"/>
    </row>
    <row r="19">
      <c r="A19" s="19" t="inlineStr">
        <is>
          <t>B-R2</t>
        </is>
      </c>
      <c r="B19" s="19" t="inlineStr">
        <is>
          <t>B</t>
        </is>
      </c>
      <c r="C19" s="19" t="inlineStr">
        <is>
          <t>Presiona una zona roja, se pone blanca y al soltar vuelve el color. ¿Qué indica?</t>
        </is>
      </c>
      <c r="D19" s="19" t="inlineStr">
        <is>
          <t>A) Que es una herida grave / B) Que la sangre todavía circula: quite el apoyo y vigile / C) Que hay que masajearla</t>
        </is>
      </c>
      <c r="E19" s="20" t="n"/>
      <c r="F19" s="20" t="n"/>
      <c r="G19" s="20" t="n"/>
      <c r="H19" s="20" t="n"/>
      <c r="I19" s="20" t="n"/>
      <c r="J19" s="20" t="n"/>
      <c r="K19" s="21">
        <f>COUNT(E19:J19)</f>
        <v/>
      </c>
      <c r="L19" s="21">
        <f>COUNTIF(E19:J19,"&gt;=3")</f>
        <v/>
      </c>
      <c r="M19" s="22">
        <f>IF(K19=0,"",L19/K19)</f>
        <v/>
      </c>
      <c r="N19" s="25" t="n"/>
    </row>
    <row r="20">
      <c r="A20" s="19" t="inlineStr">
        <is>
          <t>B-U1</t>
        </is>
      </c>
      <c r="B20" s="19" t="inlineStr">
        <is>
          <t>B</t>
        </is>
      </c>
      <c r="C20" s="19" t="inlineStr">
        <is>
          <t>¿Sirve poner un guante con agua bajo los talones?</t>
        </is>
      </c>
      <c r="D20" s="19" t="inlineStr">
        <is>
          <t>A) Sí, es lo más recomendado / B) Solo durante la noche / C) No: es mejor una almohada bajo las pantorrillas</t>
        </is>
      </c>
      <c r="E20" s="20" t="n"/>
      <c r="F20" s="20" t="n"/>
      <c r="G20" s="20" t="n"/>
      <c r="H20" s="20" t="n"/>
      <c r="I20" s="20" t="n"/>
      <c r="J20" s="20" t="n"/>
      <c r="K20" s="21">
        <f>COUNT(E20:J20)</f>
        <v/>
      </c>
      <c r="L20" s="21">
        <f>COUNTIF(E20:J20,"&gt;=3")</f>
        <v/>
      </c>
      <c r="M20" s="22">
        <f>IF(K20=0,"",L20/K20)</f>
        <v/>
      </c>
      <c r="N20" s="25" t="n"/>
    </row>
    <row r="21">
      <c r="A21" s="19" t="inlineStr">
        <is>
          <t>B-U2</t>
        </is>
      </c>
      <c r="B21" s="19" t="inlineStr">
        <is>
          <t>B</t>
        </is>
      </c>
      <c r="C21" s="19" t="inlineStr">
        <is>
          <t>Aunque el cojín del sillón sea bueno, al estar sentado…</t>
        </is>
      </c>
      <c r="D21" s="19" t="inlineStr">
        <is>
          <t>A) Hay que cambiar el apoyo o la posición seguido / B) Puede quedarse todo el día igual / C) No conviene moverse</t>
        </is>
      </c>
      <c r="E21" s="20" t="n"/>
      <c r="F21" s="20" t="n"/>
      <c r="G21" s="20" t="n"/>
      <c r="H21" s="20" t="n"/>
      <c r="I21" s="20" t="n"/>
      <c r="J21" s="20" t="n"/>
      <c r="K21" s="21">
        <f>COUNT(E21:J21)</f>
        <v/>
      </c>
      <c r="L21" s="21">
        <f>COUNTIF(E21:J21,"&gt;=3")</f>
        <v/>
      </c>
      <c r="M21" s="22">
        <f>IF(K21=0,"",L21/K21)</f>
        <v/>
      </c>
      <c r="N21" s="25" t="n"/>
    </row>
    <row r="22">
      <c r="A22" s="19" t="inlineStr">
        <is>
          <t>B-N1</t>
        </is>
      </c>
      <c r="B22" s="19" t="inlineStr">
        <is>
          <t>B</t>
        </is>
      </c>
      <c r="C22" s="19" t="inlineStr">
        <is>
          <t>Para que la piel resista mejor, en cada comida conviene incluir…</t>
        </is>
      </c>
      <c r="D22" s="19" t="inlineStr">
        <is>
          <t>A) Dulces / B) Proteínas / C) Nada en especial</t>
        </is>
      </c>
      <c r="E22" s="20" t="n"/>
      <c r="F22" s="20" t="n"/>
      <c r="G22" s="20" t="n"/>
      <c r="H22" s="20" t="n"/>
      <c r="I22" s="20" t="n"/>
      <c r="J22" s="20" t="n"/>
      <c r="K22" s="21">
        <f>COUNT(E22:J22)</f>
        <v/>
      </c>
      <c r="L22" s="21">
        <f>COUNTIF(E22:J22,"&gt;=3")</f>
        <v/>
      </c>
      <c r="M22" s="22">
        <f>IF(K22=0,"",L22/K22)</f>
        <v/>
      </c>
      <c r="N22" s="25" t="n"/>
    </row>
    <row r="23">
      <c r="A23" s="19" t="inlineStr">
        <is>
          <t>B-N2</t>
        </is>
      </c>
      <c r="B23" s="19" t="inlineStr">
        <is>
          <t>B</t>
        </is>
      </c>
      <c r="C23" s="19" t="inlineStr">
        <is>
          <t>El médico indicó limitar los líquidos por el corazón. ¿Qué hace con la meta de agua?</t>
        </is>
      </c>
      <c r="D23" s="19" t="inlineStr">
        <is>
          <t>A) Igual toma 8 vasos / B) Deja de tomar agua / C) Sigue la cantidad que indicó su médico</t>
        </is>
      </c>
      <c r="E23" s="20" t="n"/>
      <c r="F23" s="20" t="n"/>
      <c r="G23" s="20" t="n"/>
      <c r="H23" s="20" t="n"/>
      <c r="I23" s="20" t="n"/>
      <c r="J23" s="20" t="n"/>
      <c r="K23" s="21">
        <f>COUNT(E23:J23)</f>
        <v/>
      </c>
      <c r="L23" s="21">
        <f>COUNTIF(E23:J23,"&gt;=3")</f>
        <v/>
      </c>
      <c r="M23" s="22">
        <f>IF(K23=0,"",L23/K23)</f>
        <v/>
      </c>
      <c r="N23" s="25" t="n"/>
    </row>
    <row r="24">
      <c r="A24" s="19" t="inlineStr">
        <is>
          <t>B-A1</t>
        </is>
      </c>
      <c r="B24" s="19" t="inlineStr">
        <is>
          <t>B</t>
        </is>
      </c>
      <c r="C24" s="19" t="inlineStr">
        <is>
          <t>En el talón aparece una zona morada o granate. ¿Qué hace?</t>
        </is>
      </c>
      <c r="D24" s="19" t="inlineStr">
        <is>
          <t>A) La quita del apoyo y consulta hoy / B) Espera una semana / C) La masajea</t>
        </is>
      </c>
      <c r="E24" s="20" t="n"/>
      <c r="F24" s="20" t="n"/>
      <c r="G24" s="20" t="n"/>
      <c r="H24" s="20" t="n"/>
      <c r="I24" s="20" t="n"/>
      <c r="J24" s="20" t="n"/>
      <c r="K24" s="21">
        <f>COUNT(E24:J24)</f>
        <v/>
      </c>
      <c r="L24" s="21">
        <f>COUNTIF(E24:J24,"&gt;=3")</f>
        <v/>
      </c>
      <c r="M24" s="22">
        <f>IF(K24=0,"",L24/K24)</f>
        <v/>
      </c>
      <c r="N24" s="25" t="n"/>
    </row>
    <row r="25">
      <c r="A25" s="19" t="inlineStr">
        <is>
          <t>B-A2</t>
        </is>
      </c>
      <c r="B25" s="19" t="inlineStr">
        <is>
          <t>B</t>
        </is>
      </c>
      <c r="C25" s="19" t="inlineStr">
        <is>
          <t>La herida tiene pus, el enrojecimiento se extiende y hay escalofríos. ¿Qué corresponde?</t>
        </is>
      </c>
      <c r="D25" s="19" t="inlineStr">
        <is>
          <t>A) Lavar con colonia / B) Acudir a un servicio de urgencia / C) Esperar a ver si mejora</t>
        </is>
      </c>
      <c r="E25" s="20" t="n"/>
      <c r="F25" s="20" t="n"/>
      <c r="G25" s="20" t="n"/>
      <c r="H25" s="20" t="n"/>
      <c r="I25" s="20" t="n"/>
      <c r="J25" s="20" t="n"/>
      <c r="K25" s="21">
        <f>COUNT(E25:J25)</f>
        <v/>
      </c>
      <c r="L25" s="21">
        <f>COUNTIF(E25:J25,"&gt;=3")</f>
        <v/>
      </c>
      <c r="M25" s="22">
        <f>IF(K25=0,"",L25/K25)</f>
        <v/>
      </c>
      <c r="N25" s="25" t="n"/>
    </row>
    <row r="26">
      <c r="A26" s="19" t="inlineStr">
        <is>
          <t>D-01</t>
        </is>
      </c>
      <c r="B26" s="19" t="inlineStr">
        <is>
          <t>D</t>
        </is>
      </c>
      <c r="C26" s="19" t="inlineStr">
        <is>
          <t>¿Cómo deben quedar las sábanas bajo la persona?</t>
        </is>
      </c>
      <c r="D26" s="19" t="inlineStr">
        <is>
          <t>A) Estiradas, sin arrugas ni migas / B) Da igual, mientras estén limpias / C) Con varias capas dobladas</t>
        </is>
      </c>
      <c r="E26" s="20" t="n"/>
      <c r="F26" s="20" t="n"/>
      <c r="G26" s="20" t="n"/>
      <c r="H26" s="20" t="n"/>
      <c r="I26" s="20" t="n"/>
      <c r="J26" s="20" t="n"/>
      <c r="K26" s="21">
        <f>COUNT(E26:J26)</f>
        <v/>
      </c>
      <c r="L26" s="21">
        <f>COUNTIF(E26:J26,"&gt;=3")</f>
        <v/>
      </c>
      <c r="M26" s="22">
        <f>IF(K26=0,"",L26/K26)</f>
        <v/>
      </c>
      <c r="N26" s="25" t="n"/>
    </row>
    <row r="27">
      <c r="A27" s="19" t="inlineStr">
        <is>
          <t>D-02</t>
        </is>
      </c>
      <c r="B27" s="19" t="inlineStr">
        <is>
          <t>D</t>
        </is>
      </c>
      <c r="C27" s="19" t="inlineStr">
        <is>
          <t>¿Hasta dónde conviene levantar la cabecera de la cama?</t>
        </is>
      </c>
      <c r="D27" s="19" t="inlineStr">
        <is>
          <t>A) Lo más alto posible todo el día / B) Lo más baja posible, no más de 30°, salvo para comer / C) Siempre plana, incluso para comer</t>
        </is>
      </c>
      <c r="E27" s="20" t="n"/>
      <c r="F27" s="20" t="n"/>
      <c r="G27" s="20" t="n"/>
      <c r="H27" s="20" t="n"/>
      <c r="I27" s="20" t="n"/>
      <c r="J27" s="20" t="n"/>
      <c r="K27" s="21">
        <f>COUNT(E27:J27)</f>
        <v/>
      </c>
      <c r="L27" s="21">
        <f>COUNTIF(E27:J27,"&gt;=3")</f>
        <v/>
      </c>
      <c r="M27" s="22">
        <f>IF(K27=0,"",L27/K27)</f>
        <v/>
      </c>
      <c r="N27" s="25" t="n"/>
    </row>
    <row r="28">
      <c r="A28" s="19" t="inlineStr">
        <is>
          <t>D-03</t>
        </is>
      </c>
      <c r="B28" s="19" t="inlineStr">
        <is>
          <t>D</t>
        </is>
      </c>
      <c r="C28" s="19" t="inlineStr">
        <is>
          <t>Si está sentado y puede moverse, ¿cada cuánto conviene cambiar el apoyo?</t>
        </is>
      </c>
      <c r="D28" s="19" t="inlineStr">
        <is>
          <t>A) Una vez al día / B) Nunca, para no cansarse / C) Cada 15 a 30 minutos, inclinándose hacia adelante o a un lado</t>
        </is>
      </c>
      <c r="E28" s="20" t="n"/>
      <c r="F28" s="20" t="n"/>
      <c r="G28" s="20" t="n"/>
      <c r="H28" s="20" t="n"/>
      <c r="I28" s="20" t="n"/>
      <c r="J28" s="20" t="n"/>
      <c r="K28" s="21">
        <f>COUNT(E28:J28)</f>
        <v/>
      </c>
      <c r="L28" s="21">
        <f>COUNTIF(E28:J28,"&gt;=3")</f>
        <v/>
      </c>
      <c r="M28" s="22">
        <f>IF(K28=0,"",L28/K28)</f>
        <v/>
      </c>
      <c r="N28" s="25" t="n"/>
    </row>
    <row r="29">
      <c r="A29" s="19" t="inlineStr">
        <is>
          <t>D-04</t>
        </is>
      </c>
      <c r="B29" s="19" t="inlineStr">
        <is>
          <t>D</t>
        </is>
      </c>
      <c r="C29" s="19" t="inlineStr">
        <is>
          <t>En piel morena u oscura, ¿cómo se reconoce una zona en riesgo?</t>
        </is>
      </c>
      <c r="D29" s="19" t="inlineStr">
        <is>
          <t>A) Solo por el color rojo / B) Por calor, dureza, hinchazón, dolor o un tono más oscuro / C) No se puede reconocer</t>
        </is>
      </c>
      <c r="E29" s="20" t="n"/>
      <c r="F29" s="20" t="n"/>
      <c r="G29" s="20" t="n"/>
      <c r="H29" s="20" t="n"/>
      <c r="I29" s="20" t="n"/>
      <c r="J29" s="20" t="n"/>
      <c r="K29" s="21">
        <f>COUNT(E29:J29)</f>
        <v/>
      </c>
      <c r="L29" s="21">
        <f>COUNTIF(E29:J29,"&gt;=3")</f>
        <v/>
      </c>
      <c r="M29" s="22">
        <f>IF(K29=0,"",L29/K29)</f>
        <v/>
      </c>
      <c r="N29" s="25" t="n"/>
    </row>
    <row r="30">
      <c r="A30" s="19" t="inlineStr">
        <is>
          <t>D-05</t>
        </is>
      </c>
      <c r="B30" s="19" t="inlineStr">
        <is>
          <t>D</t>
        </is>
      </c>
      <c r="C30" s="19" t="inlineStr">
        <is>
          <t>¿Dónde más hay que revisar, además de los huesos que se apoyan?</t>
        </is>
      </c>
      <c r="D30" s="19" t="inlineStr">
        <is>
          <t>A) Bajo sondas, mascarillas de oxígeno y medias / B) Solo en las manos / C) En ninguna otra parte</t>
        </is>
      </c>
      <c r="E30" s="20" t="n"/>
      <c r="F30" s="20" t="n"/>
      <c r="G30" s="20" t="n"/>
      <c r="H30" s="20" t="n"/>
      <c r="I30" s="20" t="n"/>
      <c r="J30" s="20" t="n"/>
      <c r="K30" s="21">
        <f>COUNT(E30:J30)</f>
        <v/>
      </c>
      <c r="L30" s="21">
        <f>COUNTIF(E30:J30,"&gt;=3")</f>
        <v/>
      </c>
      <c r="M30" s="22">
        <f>IF(K30=0,"",L30/K30)</f>
        <v/>
      </c>
      <c r="N30" s="25" t="n"/>
    </row>
    <row r="31">
      <c r="A31" s="19" t="inlineStr">
        <is>
          <t>D-06</t>
        </is>
      </c>
      <c r="B31" s="19" t="inlineStr">
        <is>
          <t>D</t>
        </is>
      </c>
      <c r="C31" s="19" t="inlineStr">
        <is>
          <t>Para subir a la persona en la cama, lo mejor es…</t>
        </is>
      </c>
      <c r="D31" s="19" t="inlineStr">
        <is>
          <t>A) Arrastrarla tomándola de los brazos / B) Pedirle que se empuje con los talones / C) Levantarla con una sábana entre dos personas</t>
        </is>
      </c>
      <c r="E31" s="20" t="n"/>
      <c r="F31" s="20" t="n"/>
      <c r="G31" s="20" t="n"/>
      <c r="H31" s="20" t="n"/>
      <c r="I31" s="20" t="n"/>
      <c r="J31" s="20" t="n"/>
      <c r="K31" s="21">
        <f>COUNT(E31:J31)</f>
        <v/>
      </c>
      <c r="L31" s="21">
        <f>COUNTIF(E31:J31,"&gt;=3")</f>
        <v/>
      </c>
      <c r="M31" s="22">
        <f>IF(K31=0,"",L31/K31)</f>
        <v/>
      </c>
      <c r="N31" s="25" t="n"/>
    </row>
    <row r="32">
      <c r="A32" s="19" t="inlineStr">
        <is>
          <t>D-07</t>
        </is>
      </c>
      <c r="B32" s="19" t="inlineStr">
        <is>
          <t>D</t>
        </is>
      </c>
      <c r="C32" s="19" t="inlineStr">
        <is>
          <t>Acostada de lado, ¿qué evita que una rodilla apriete a la otra?</t>
        </is>
      </c>
      <c r="D32" s="19" t="inlineStr">
        <is>
          <t>A) Una almohada entre las rodillas / B) Cruzar las piernas / C) Nada: no importa</t>
        </is>
      </c>
      <c r="E32" s="20" t="n"/>
      <c r="F32" s="20" t="n"/>
      <c r="G32" s="20" t="n"/>
      <c r="H32" s="20" t="n"/>
      <c r="I32" s="20" t="n"/>
      <c r="J32" s="20" t="n"/>
      <c r="K32" s="21">
        <f>COUNT(E32:J32)</f>
        <v/>
      </c>
      <c r="L32" s="21">
        <f>COUNTIF(E32:J32,"&gt;=3")</f>
        <v/>
      </c>
      <c r="M32" s="22">
        <f>IF(K32=0,"",L32/K32)</f>
        <v/>
      </c>
      <c r="N32" s="25" t="n"/>
    </row>
    <row r="33">
      <c r="A33" s="19" t="inlineStr">
        <is>
          <t>D-08</t>
        </is>
      </c>
      <c r="B33" s="19" t="inlineStr">
        <is>
          <t>D</t>
        </is>
      </c>
      <c r="C33" s="19" t="inlineStr">
        <is>
          <t>¿Cuál es la mejor forma de ofrecer agua?</t>
        </is>
      </c>
      <c r="D33" s="19" t="inlineStr">
        <is>
          <t>A) Todo junto en la noche / B) En pequeños sorbos durante el día / C) Solo con las comidas</t>
        </is>
      </c>
      <c r="E33" s="20" t="n"/>
      <c r="F33" s="20" t="n"/>
      <c r="G33" s="20" t="n"/>
      <c r="H33" s="20" t="n"/>
      <c r="I33" s="20" t="n"/>
      <c r="J33" s="20" t="n"/>
      <c r="K33" s="21">
        <f>COUNT(E33:J33)</f>
        <v/>
      </c>
      <c r="L33" s="21">
        <f>COUNTIF(E33:J33,"&gt;=3")</f>
        <v/>
      </c>
      <c r="M33" s="22">
        <f>IF(K33=0,"",L33/K33)</f>
        <v/>
      </c>
      <c r="N33" s="25" t="n"/>
    </row>
    <row r="34">
      <c r="A34" s="19" t="inlineStr">
        <is>
          <t>D-09</t>
        </is>
      </c>
      <c r="B34" s="19" t="inlineStr">
        <is>
          <t>D</t>
        </is>
      </c>
      <c r="C34" s="19" t="inlineStr">
        <is>
          <t>La persona come muy poco y está bajando de peso. ¿Qué hace?</t>
        </is>
      </c>
      <c r="D34" s="19" t="inlineStr">
        <is>
          <t>A) Esperar a que recupere el apetito / B) Darle solo líquidos / C) Avisar al equipo de salud: pueden indicar suplementos</t>
        </is>
      </c>
      <c r="E34" s="20" t="n"/>
      <c r="F34" s="20" t="n"/>
      <c r="G34" s="20" t="n"/>
      <c r="H34" s="20" t="n"/>
      <c r="I34" s="20" t="n"/>
      <c r="J34" s="20" t="n"/>
      <c r="K34" s="21">
        <f>COUNT(E34:J34)</f>
        <v/>
      </c>
      <c r="L34" s="21">
        <f>COUNTIF(E34:J34,"&gt;=3")</f>
        <v/>
      </c>
      <c r="M34" s="22">
        <f>IF(K34=0,"",L34/K34)</f>
        <v/>
      </c>
      <c r="N34" s="25" t="n"/>
    </row>
    <row r="35">
      <c r="A35" s="19" t="inlineStr">
        <is>
          <t>D-10</t>
        </is>
      </c>
      <c r="B35" s="19" t="inlineStr">
        <is>
          <t>D</t>
        </is>
      </c>
      <c r="C35" s="19" t="inlineStr">
        <is>
          <t>Los ácidos grasos hiperoxigenados (AGHO), ¿reemplazan los cambios de posición?</t>
        </is>
      </c>
      <c r="D35" s="19" t="inlineStr">
        <is>
          <t>A) No: pueden ayudar, pero nunca los reemplazan / B) Sí, con ellos basta / C) Sí, si se aplican dos veces al día</t>
        </is>
      </c>
      <c r="E35" s="20" t="n"/>
      <c r="F35" s="20" t="n"/>
      <c r="G35" s="20" t="n"/>
      <c r="H35" s="20" t="n"/>
      <c r="I35" s="20" t="n"/>
      <c r="J35" s="20" t="n"/>
      <c r="K35" s="21">
        <f>COUNT(E35:J35)</f>
        <v/>
      </c>
      <c r="L35" s="21">
        <f>COUNTIF(E35:J35,"&gt;=3")</f>
        <v/>
      </c>
      <c r="M35" s="22">
        <f>IF(K35=0,"",L35/K35)</f>
        <v/>
      </c>
      <c r="N35" s="25" t="n"/>
    </row>
    <row r="36">
      <c r="A36" s="19" t="inlineStr">
        <is>
          <t>D-11</t>
        </is>
      </c>
      <c r="B36" s="19" t="inlineStr">
        <is>
          <t>D</t>
        </is>
      </c>
      <c r="C36" s="19" t="inlineStr">
        <is>
          <t>Al secar la piel después del baño…</t>
        </is>
      </c>
      <c r="D36" s="19" t="inlineStr">
        <is>
          <t>A) Se frota fuerte con la toalla / B) Se seca con toquecitos, sobre todo en los pliegues / C) Se deja húmeda para que se hidrate</t>
        </is>
      </c>
      <c r="E36" s="20" t="n"/>
      <c r="F36" s="20" t="n"/>
      <c r="G36" s="20" t="n"/>
      <c r="H36" s="20" t="n"/>
      <c r="I36" s="20" t="n"/>
      <c r="J36" s="20" t="n"/>
      <c r="K36" s="21">
        <f>COUNT(E36:J36)</f>
        <v/>
      </c>
      <c r="L36" s="21">
        <f>COUNTIF(E36:J36,"&gt;=3")</f>
        <v/>
      </c>
      <c r="M36" s="22">
        <f>IF(K36=0,"",L36/K36)</f>
        <v/>
      </c>
      <c r="N36" s="25" t="n"/>
    </row>
    <row r="37">
      <c r="A37" s="19" t="inlineStr">
        <is>
          <t>D-12</t>
        </is>
      </c>
      <c r="B37" s="19" t="inlineStr">
        <is>
          <t>D</t>
        </is>
      </c>
      <c r="C37" s="19" t="inlineStr">
        <is>
          <t>Una zona roja sí se pone blanca al presionar. ¿Qué hace?</t>
        </is>
      </c>
      <c r="D37" s="19" t="inlineStr">
        <is>
          <t>A) La masajea / B) No hace nada / C) Quita el apoyo de esa zona y la revisa en unas horas</t>
        </is>
      </c>
      <c r="E37" s="20" t="n"/>
      <c r="F37" s="20" t="n"/>
      <c r="G37" s="20" t="n"/>
      <c r="H37" s="20" t="n"/>
      <c r="I37" s="20" t="n"/>
      <c r="J37" s="20" t="n"/>
      <c r="K37" s="21">
        <f>COUNT(E37:J37)</f>
        <v/>
      </c>
      <c r="L37" s="21">
        <f>COUNTIF(E37:J37,"&gt;=3")</f>
        <v/>
      </c>
      <c r="M37" s="22">
        <f>IF(K37=0,"",L37/K37)</f>
        <v/>
      </c>
      <c r="N37" s="25" t="n"/>
    </row>
    <row r="38">
      <c r="A38" s="19" t="inlineStr">
        <is>
          <t>D-13</t>
        </is>
      </c>
      <c r="B38" s="19" t="inlineStr">
        <is>
          <t>D</t>
        </is>
      </c>
      <c r="C38" s="19" t="inlineStr">
        <is>
          <t>¿Puede una lesión por presión empezar por dentro, con la piel todavía entera?</t>
        </is>
      </c>
      <c r="D38" s="19" t="inlineStr">
        <is>
          <t>A) Sí: el daño puede empezar cerca del hueso / B) No, siempre empieza como herida / C) Solo en personas jóvenes</t>
        </is>
      </c>
      <c r="E38" s="20" t="n"/>
      <c r="F38" s="20" t="n"/>
      <c r="G38" s="20" t="n"/>
      <c r="H38" s="20" t="n"/>
      <c r="I38" s="20" t="n"/>
      <c r="J38" s="20" t="n"/>
      <c r="K38" s="21">
        <f>COUNT(E38:J38)</f>
        <v/>
      </c>
      <c r="L38" s="21">
        <f>COUNTIF(E38:J38,"&gt;=3")</f>
        <v/>
      </c>
      <c r="M38" s="22">
        <f>IF(K38=0,"",L38/K38)</f>
        <v/>
      </c>
      <c r="N38" s="25" t="n"/>
    </row>
    <row r="39">
      <c r="A39" s="19" t="inlineStr">
        <is>
          <t>D-14</t>
        </is>
      </c>
      <c r="B39" s="19" t="inlineStr">
        <is>
          <t>D</t>
        </is>
      </c>
      <c r="C39" s="19" t="inlineStr">
        <is>
          <t>¿Quién define cada cuánto cambiar de posición?</t>
        </is>
      </c>
      <c r="D39" s="19" t="inlineStr">
        <is>
          <t>A) Siempre cada 6 horas / B) Su equipo de salud, según su riesgo y su colchón (habitualmente cada 2 a 4 horas) / C) Solo cuando la persona lo pide</t>
        </is>
      </c>
      <c r="E39" s="20" t="n"/>
      <c r="F39" s="20" t="n"/>
      <c r="G39" s="20" t="n"/>
      <c r="H39" s="20" t="n"/>
      <c r="I39" s="20" t="n"/>
      <c r="J39" s="20" t="n"/>
      <c r="K39" s="21">
        <f>COUNT(E39:J39)</f>
        <v/>
      </c>
      <c r="L39" s="21">
        <f>COUNTIF(E39:J39,"&gt;=3")</f>
        <v/>
      </c>
      <c r="M39" s="22">
        <f>IF(K39=0,"",L39/K39)</f>
        <v/>
      </c>
      <c r="N39" s="25" t="n"/>
    </row>
    <row r="40">
      <c r="A40" s="19" t="inlineStr">
        <is>
          <t>D-15</t>
        </is>
      </c>
      <c r="B40" s="19" t="inlineStr">
        <is>
          <t>D</t>
        </is>
      </c>
      <c r="C40" s="19" t="inlineStr">
        <is>
          <t>¿Por qué no conviene acostar a la persona completamente de lado (90°)?</t>
        </is>
      </c>
      <c r="D40" s="19" t="inlineStr">
        <is>
          <t>A) Porque se enfría / B) Porque cuesta más respirar / C) Porque todo el peso cae sobre el hueso de la cadera</t>
        </is>
      </c>
      <c r="E40" s="20" t="n"/>
      <c r="F40" s="20" t="n"/>
      <c r="G40" s="20" t="n"/>
      <c r="H40" s="20" t="n"/>
      <c r="I40" s="20" t="n"/>
      <c r="J40" s="20" t="n"/>
      <c r="K40" s="21">
        <f>COUNT(E40:J40)</f>
        <v/>
      </c>
      <c r="L40" s="21">
        <f>COUNTIF(E40:J40,"&gt;=3")</f>
        <v/>
      </c>
      <c r="M40" s="22">
        <f>IF(K40=0,"",L40/K40)</f>
        <v/>
      </c>
      <c r="N40" s="25" t="n"/>
    </row>
    <row r="41">
      <c r="A41" s="19" t="inlineStr">
        <is>
          <t>D-16</t>
        </is>
      </c>
      <c r="B41" s="19" t="inlineStr">
        <is>
          <t>D</t>
        </is>
      </c>
      <c r="C41" s="19" t="inlineStr">
        <is>
          <t>Una zona está dura, caliente y dolorosa, aunque la piel siga entera. ¿Qué hace?</t>
        </is>
      </c>
      <c r="D41" s="19" t="inlineStr">
        <is>
          <t>A) Consulta hoy a su equipo de salud / B) Le pone una bolsa caliente / C) La masajea con crema</t>
        </is>
      </c>
      <c r="E41" s="20" t="n"/>
      <c r="F41" s="20" t="n"/>
      <c r="G41" s="20" t="n"/>
      <c r="H41" s="20" t="n"/>
      <c r="I41" s="20" t="n"/>
      <c r="J41" s="20" t="n"/>
      <c r="K41" s="21">
        <f>COUNT(E41:J41)</f>
        <v/>
      </c>
      <c r="L41" s="21">
        <f>COUNTIF(E41:J41,"&gt;=3")</f>
        <v/>
      </c>
      <c r="M41" s="22">
        <f>IF(K41=0,"",L41/K41)</f>
        <v/>
      </c>
      <c r="N41" s="25" t="n"/>
    </row>
    <row r="42">
      <c r="A42" s="19" t="inlineStr">
        <is>
          <t>D-17</t>
        </is>
      </c>
      <c r="B42" s="19" t="inlineStr">
        <is>
          <t>D</t>
        </is>
      </c>
      <c r="C42" s="19" t="inlineStr">
        <is>
          <t>Si la persona puede moverse sola, ¿qué conviene?</t>
        </is>
      </c>
      <c r="D42" s="19" t="inlineStr">
        <is>
          <t>A) Que se quede quieta para no cansarse / B) Animarla a moverse por sí misma todo lo que pueda / C) Moverla solo en la noche</t>
        </is>
      </c>
      <c r="E42" s="20" t="n"/>
      <c r="F42" s="20" t="n"/>
      <c r="G42" s="20" t="n"/>
      <c r="H42" s="20" t="n"/>
      <c r="I42" s="20" t="n"/>
      <c r="J42" s="20" t="n"/>
      <c r="K42" s="21">
        <f>COUNT(E42:J42)</f>
        <v/>
      </c>
      <c r="L42" s="21">
        <f>COUNTIF(E42:J42,"&gt;=3")</f>
        <v/>
      </c>
      <c r="M42" s="22">
        <f>IF(K42=0,"",L42/K42)</f>
        <v/>
      </c>
      <c r="N42" s="25" t="n"/>
    </row>
    <row r="43">
      <c r="A43" s="19" t="inlineStr">
        <is>
          <t>D-18</t>
        </is>
      </c>
      <c r="B43" s="19" t="inlineStr">
        <is>
          <t>D</t>
        </is>
      </c>
      <c r="C43" s="19" t="inlineStr">
        <is>
          <t>Si hay incontinencia, ¿qué protege la piel?</t>
        </is>
      </c>
      <c r="D43" s="19" t="inlineStr">
        <is>
          <t>A) Usar dos pañales a la vez / B) Lavar con agua muy caliente / C) Una crema barrera después de cada limpieza</t>
        </is>
      </c>
      <c r="E43" s="20" t="n"/>
      <c r="F43" s="20" t="n"/>
      <c r="G43" s="20" t="n"/>
      <c r="H43" s="20" t="n"/>
      <c r="I43" s="20" t="n"/>
      <c r="J43" s="20" t="n"/>
      <c r="K43" s="21">
        <f>COUNT(E43:J43)</f>
        <v/>
      </c>
      <c r="L43" s="21">
        <f>COUNTIF(E43:J43,"&gt;=3")</f>
        <v/>
      </c>
      <c r="M43" s="22">
        <f>IF(K43=0,"",L43/K43)</f>
        <v/>
      </c>
      <c r="N43" s="25" t="n"/>
    </row>
  </sheetData>
  <dataValidations count="1">
    <dataValidation sqref="E2:J43" showDropDown="0" showInputMessage="0" showErrorMessage="0" allowBlank="1" errorTitle="Valor no válido" error="Use un número entero de 1 a 4." type="whole" operator="between">
      <formula1>1</formula1>
      <formula2>4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 ht="36" customHeight="1">
      <c r="A1" s="10" t="inlineStr">
        <is>
          <t>Competencia</t>
        </is>
      </c>
      <c r="B1" s="10" t="inlineStr">
        <is>
          <t>Dominio</t>
        </is>
      </c>
      <c r="C1" s="10" t="inlineStr">
        <is>
          <t>Ítem A (ingreso)</t>
        </is>
      </c>
      <c r="D1" s="10" t="inlineStr">
        <is>
          <t>I-CVI A</t>
        </is>
      </c>
      <c r="E1" s="10" t="inlineStr">
        <is>
          <t>Ítem B (alta)</t>
        </is>
      </c>
      <c r="F1" s="10" t="inlineStr">
        <is>
          <t>I-CVI B</t>
        </is>
      </c>
      <c r="G1" s="10" t="inlineStr">
        <is>
          <t>Ambos ≥ umbral</t>
        </is>
      </c>
    </row>
    <row r="2">
      <c r="A2" s="19" t="inlineStr">
        <is>
          <t>P1 · Inclinación lateral de 30° con apoyo</t>
        </is>
      </c>
      <c r="B2" s="19" t="inlineStr">
        <is>
          <t>Cambios de posición</t>
        </is>
      </c>
      <c r="C2" s="26" t="inlineStr">
        <is>
          <t>A-P1</t>
        </is>
      </c>
      <c r="D2" s="27">
        <f>IFERROR(INDEX(Relevancia!$O$2:$O$43,MATCH(C2,Relevancia!$A$2:$A$43,0)),"")</f>
        <v/>
      </c>
      <c r="E2" s="26" t="inlineStr">
        <is>
          <t>B-P1</t>
        </is>
      </c>
      <c r="F2" s="27">
        <f>IFERROR(INDEX(Relevancia!$O$2:$O$43,MATCH(E2,Relevancia!$A$2:$A$43,0)),"")</f>
        <v/>
      </c>
      <c r="G2" s="26">
        <f>IF(OR(D2="",F2=""),"",IF(AND(D2&gt;=Resumen!$B$3,F2&gt;=Resumen!$B$3),"Sí","No"))</f>
        <v/>
      </c>
    </row>
    <row r="3">
      <c r="A3" s="19" t="inlineStr">
        <is>
          <t>P2 · Talones sin apoyo (flotando)</t>
        </is>
      </c>
      <c r="B3" s="19" t="inlineStr">
        <is>
          <t>Cambios de posición</t>
        </is>
      </c>
      <c r="C3" s="26" t="inlineStr">
        <is>
          <t>A-P2</t>
        </is>
      </c>
      <c r="D3" s="27">
        <f>IFERROR(INDEX(Relevancia!$O$2:$O$43,MATCH(C3,Relevancia!$A$2:$A$43,0)),"")</f>
        <v/>
      </c>
      <c r="E3" s="26" t="inlineStr">
        <is>
          <t>B-P2</t>
        </is>
      </c>
      <c r="F3" s="27">
        <f>IFERROR(INDEX(Relevancia!$O$2:$O$43,MATCH(E3,Relevancia!$A$2:$A$43,0)),"")</f>
        <v/>
      </c>
      <c r="G3" s="26">
        <f>IF(OR(D3="",F3=""),"",IF(AND(D3&gt;=Resumen!$B$3,F3&gt;=Resumen!$B$3),"Sí","No"))</f>
        <v/>
      </c>
    </row>
    <row r="4">
      <c r="A4" s="19" t="inlineStr">
        <is>
          <t>S1 · Manejo de la humedad y crema barrera</t>
        </is>
      </c>
      <c r="B4" s="19" t="inlineStr">
        <is>
          <t>Cuidado de la piel</t>
        </is>
      </c>
      <c r="C4" s="26" t="inlineStr">
        <is>
          <t>A-S1</t>
        </is>
      </c>
      <c r="D4" s="27">
        <f>IFERROR(INDEX(Relevancia!$O$2:$O$43,MATCH(C4,Relevancia!$A$2:$A$43,0)),"")</f>
        <v/>
      </c>
      <c r="E4" s="26" t="inlineStr">
        <is>
          <t>B-S1</t>
        </is>
      </c>
      <c r="F4" s="27">
        <f>IFERROR(INDEX(Relevancia!$O$2:$O$43,MATCH(E4,Relevancia!$A$2:$A$43,0)),"")</f>
        <v/>
      </c>
      <c r="G4" s="26">
        <f>IF(OR(D4="",F4=""),"",IF(AND(D4&gt;=Resumen!$B$3,F4&gt;=Resumen!$B$3),"Sí","No"))</f>
        <v/>
      </c>
    </row>
    <row r="5">
      <c r="A5" s="19" t="inlineStr">
        <is>
          <t>S2 · Cuidar la piel sin dañarla</t>
        </is>
      </c>
      <c r="B5" s="19" t="inlineStr">
        <is>
          <t>Cuidado de la piel</t>
        </is>
      </c>
      <c r="C5" s="26" t="inlineStr">
        <is>
          <t>A-S2</t>
        </is>
      </c>
      <c r="D5" s="27">
        <f>IFERROR(INDEX(Relevancia!$O$2:$O$43,MATCH(C5,Relevancia!$A$2:$A$43,0)),"")</f>
        <v/>
      </c>
      <c r="E5" s="26" t="inlineStr">
        <is>
          <t>B-S2</t>
        </is>
      </c>
      <c r="F5" s="27">
        <f>IFERROR(INDEX(Relevancia!$O$2:$O$43,MATCH(E5,Relevancia!$A$2:$A$43,0)),"")</f>
        <v/>
      </c>
      <c r="G5" s="26">
        <f>IF(OR(D5="",F5=""),"",IF(AND(D5&gt;=Resumen!$B$3,F5&gt;=Resumen!$B$3),"Sí","No"))</f>
        <v/>
      </c>
    </row>
    <row r="6">
      <c r="A6" s="19" t="inlineStr">
        <is>
          <t>R1 · Frecuencia y momento de la revisión</t>
        </is>
      </c>
      <c r="B6" s="19" t="inlineStr">
        <is>
          <t>Revisión de la piel</t>
        </is>
      </c>
      <c r="C6" s="26" t="inlineStr">
        <is>
          <t>A-R1</t>
        </is>
      </c>
      <c r="D6" s="27">
        <f>IFERROR(INDEX(Relevancia!$O$2:$O$43,MATCH(C6,Relevancia!$A$2:$A$43,0)),"")</f>
        <v/>
      </c>
      <c r="E6" s="26" t="inlineStr">
        <is>
          <t>B-R1</t>
        </is>
      </c>
      <c r="F6" s="27">
        <f>IFERROR(INDEX(Relevancia!$O$2:$O$43,MATCH(E6,Relevancia!$A$2:$A$43,0)),"")</f>
        <v/>
      </c>
      <c r="G6" s="26">
        <f>IF(OR(D6="",F6=""),"",IF(AND(D6&gt;=Resumen!$B$3,F6&gt;=Resumen!$B$3),"Sí","No"))</f>
        <v/>
      </c>
    </row>
    <row r="7">
      <c r="A7" s="19" t="inlineStr">
        <is>
          <t>R2 · Interpretación de la prueba del dedo</t>
        </is>
      </c>
      <c r="B7" s="19" t="inlineStr">
        <is>
          <t>Revisión de la piel</t>
        </is>
      </c>
      <c r="C7" s="26" t="inlineStr">
        <is>
          <t>A-R2</t>
        </is>
      </c>
      <c r="D7" s="27">
        <f>IFERROR(INDEX(Relevancia!$O$2:$O$43,MATCH(C7,Relevancia!$A$2:$A$43,0)),"")</f>
        <v/>
      </c>
      <c r="E7" s="26" t="inlineStr">
        <is>
          <t>B-R2</t>
        </is>
      </c>
      <c r="F7" s="27">
        <f>IFERROR(INDEX(Relevancia!$O$2:$O$43,MATCH(E7,Relevancia!$A$2:$A$43,0)),"")</f>
        <v/>
      </c>
      <c r="G7" s="26">
        <f>IF(OR(D7="",F7=""),"",IF(AND(D7&gt;=Resumen!$B$3,F7&gt;=Resumen!$B$3),"Sí","No"))</f>
        <v/>
      </c>
    </row>
    <row r="8">
      <c r="A8" s="19" t="inlineStr">
        <is>
          <t>U1 · Evitar dispositivos inadecuados</t>
        </is>
      </c>
      <c r="B8" s="19" t="inlineStr">
        <is>
          <t>Colchón, cojín y apoyos</t>
        </is>
      </c>
      <c r="C8" s="26" t="inlineStr">
        <is>
          <t>A-U1</t>
        </is>
      </c>
      <c r="D8" s="27">
        <f>IFERROR(INDEX(Relevancia!$O$2:$O$43,MATCH(C8,Relevancia!$A$2:$A$43,0)),"")</f>
        <v/>
      </c>
      <c r="E8" s="26" t="inlineStr">
        <is>
          <t>B-U1</t>
        </is>
      </c>
      <c r="F8" s="27">
        <f>IFERROR(INDEX(Relevancia!$O$2:$O$43,MATCH(E8,Relevancia!$A$2:$A$43,0)),"")</f>
        <v/>
      </c>
      <c r="G8" s="26">
        <f>IF(OR(D8="",F8=""),"",IF(AND(D8&gt;=Resumen!$B$3,F8&gt;=Resumen!$B$3),"Sí","No"))</f>
        <v/>
      </c>
    </row>
    <row r="9">
      <c r="A9" s="19" t="inlineStr">
        <is>
          <t>U2 · La superficie no reemplaza los cambios de posición</t>
        </is>
      </c>
      <c r="B9" s="19" t="inlineStr">
        <is>
          <t>Colchón, cojín y apoyos</t>
        </is>
      </c>
      <c r="C9" s="26" t="inlineStr">
        <is>
          <t>A-U2</t>
        </is>
      </c>
      <c r="D9" s="27">
        <f>IFERROR(INDEX(Relevancia!$O$2:$O$43,MATCH(C9,Relevancia!$A$2:$A$43,0)),"")</f>
        <v/>
      </c>
      <c r="E9" s="26" t="inlineStr">
        <is>
          <t>B-U2</t>
        </is>
      </c>
      <c r="F9" s="27">
        <f>IFERROR(INDEX(Relevancia!$O$2:$O$43,MATCH(E9,Relevancia!$A$2:$A$43,0)),"")</f>
        <v/>
      </c>
      <c r="G9" s="26">
        <f>IF(OR(D9="",F9=""),"",IF(AND(D9&gt;=Resumen!$B$3,F9&gt;=Resumen!$B$3),"Sí","No"))</f>
        <v/>
      </c>
    </row>
    <row r="10">
      <c r="A10" s="19" t="inlineStr">
        <is>
          <t>N1 · Proteínas en la alimentación</t>
        </is>
      </c>
      <c r="B10" s="19" t="inlineStr">
        <is>
          <t>Alimentación e hidratación</t>
        </is>
      </c>
      <c r="C10" s="26" t="inlineStr">
        <is>
          <t>A-N1</t>
        </is>
      </c>
      <c r="D10" s="27">
        <f>IFERROR(INDEX(Relevancia!$O$2:$O$43,MATCH(C10,Relevancia!$A$2:$A$43,0)),"")</f>
        <v/>
      </c>
      <c r="E10" s="26" t="inlineStr">
        <is>
          <t>B-N1</t>
        </is>
      </c>
      <c r="F10" s="27">
        <f>IFERROR(INDEX(Relevancia!$O$2:$O$43,MATCH(E10,Relevancia!$A$2:$A$43,0)),"")</f>
        <v/>
      </c>
      <c r="G10" s="26">
        <f>IF(OR(D10="",F10=""),"",IF(AND(D10&gt;=Resumen!$B$3,F10&gt;=Resumen!$B$3),"Sí","No"))</f>
        <v/>
      </c>
    </row>
    <row r="11">
      <c r="A11" s="19" t="inlineStr">
        <is>
          <t>N2 · Hidratación según indicación médica</t>
        </is>
      </c>
      <c r="B11" s="19" t="inlineStr">
        <is>
          <t>Alimentación e hidratación</t>
        </is>
      </c>
      <c r="C11" s="26" t="inlineStr">
        <is>
          <t>A-N2</t>
        </is>
      </c>
      <c r="D11" s="27">
        <f>IFERROR(INDEX(Relevancia!$O$2:$O$43,MATCH(C11,Relevancia!$A$2:$A$43,0)),"")</f>
        <v/>
      </c>
      <c r="E11" s="26" t="inlineStr">
        <is>
          <t>B-N2</t>
        </is>
      </c>
      <c r="F11" s="27">
        <f>IFERROR(INDEX(Relevancia!$O$2:$O$43,MATCH(E11,Relevancia!$A$2:$A$43,0)),"")</f>
        <v/>
      </c>
      <c r="G11" s="26">
        <f>IF(OR(D11="",F11=""),"",IF(AND(D11&gt;=Resumen!$B$3,F11&gt;=Resumen!$B$3),"Sí","No"))</f>
        <v/>
      </c>
    </row>
    <row r="12">
      <c r="A12" s="19" t="inlineStr">
        <is>
          <t>A1 · Cuándo consultar hoy</t>
        </is>
      </c>
      <c r="B12" s="19" t="inlineStr">
        <is>
          <t>Señales de alarma</t>
        </is>
      </c>
      <c r="C12" s="26" t="inlineStr">
        <is>
          <t>A-A1</t>
        </is>
      </c>
      <c r="D12" s="27">
        <f>IFERROR(INDEX(Relevancia!$O$2:$O$43,MATCH(C12,Relevancia!$A$2:$A$43,0)),"")</f>
        <v/>
      </c>
      <c r="E12" s="26" t="inlineStr">
        <is>
          <t>B-A1</t>
        </is>
      </c>
      <c r="F12" s="27">
        <f>IFERROR(INDEX(Relevancia!$O$2:$O$43,MATCH(E12,Relevancia!$A$2:$A$43,0)),"")</f>
        <v/>
      </c>
      <c r="G12" s="26">
        <f>IF(OR(D12="",F12=""),"",IF(AND(D12&gt;=Resumen!$B$3,F12&gt;=Resumen!$B$3),"Sí","No"))</f>
        <v/>
      </c>
    </row>
    <row r="13">
      <c r="A13" s="19" t="inlineStr">
        <is>
          <t>A2 · Cuándo acudir a urgencia</t>
        </is>
      </c>
      <c r="B13" s="19" t="inlineStr">
        <is>
          <t>Señales de alarma</t>
        </is>
      </c>
      <c r="C13" s="26" t="inlineStr">
        <is>
          <t>A-A2</t>
        </is>
      </c>
      <c r="D13" s="27">
        <f>IFERROR(INDEX(Relevancia!$O$2:$O$43,MATCH(C13,Relevancia!$A$2:$A$43,0)),"")</f>
        <v/>
      </c>
      <c r="E13" s="26" t="inlineStr">
        <is>
          <t>B-A2</t>
        </is>
      </c>
      <c r="F13" s="27">
        <f>IFERROR(INDEX(Relevancia!$O$2:$O$43,MATCH(E13,Relevancia!$A$2:$A$43,0)),"")</f>
        <v/>
      </c>
      <c r="G13" s="26">
        <f>IF(OR(D13="",F13=""),"",IF(AND(D13&gt;=Resumen!$B$3,F13&gt;=Resumen!$B$3),"Sí","No"))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2026-10-01T21:58:00Z</dcterms:created>
  <dcterms:modified xsi:type="dcterms:W3CDTF">2026-10-01T21:58:00Z</dcterms:modified>
</cp:coreProperties>
</file>